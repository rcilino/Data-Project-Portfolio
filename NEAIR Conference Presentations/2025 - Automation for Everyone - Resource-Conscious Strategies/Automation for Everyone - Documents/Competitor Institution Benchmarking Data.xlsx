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NEAIR\2025 Presentation\Automation for Everyone - Documents\"/>
    </mc:Choice>
  </mc:AlternateContent>
  <xr:revisionPtr revIDLastSave="0" documentId="13_ncr:1_{1AA836C7-2D7D-4A8F-BE3A-1B0CB2916D50}" xr6:coauthVersionLast="47" xr6:coauthVersionMax="47" xr10:uidLastSave="{00000000-0000-0000-0000-000000000000}"/>
  <bookViews>
    <workbookView xWindow="14205" yWindow="7005" windowWidth="17355" windowHeight="13320" tabRatio="644" xr2:uid="{48C006FB-4699-4DDD-86D5-EF20E4A73035}"/>
  </bookViews>
  <sheets>
    <sheet name="Entrant Enroll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G9" i="1"/>
  <c r="H9" i="1"/>
  <c r="I9" i="1"/>
  <c r="J9" i="1"/>
  <c r="K9" i="1"/>
  <c r="L9" i="1"/>
  <c r="M9" i="1"/>
  <c r="N9" i="1"/>
  <c r="O9" i="1"/>
  <c r="P9" i="1"/>
  <c r="E10" i="1"/>
  <c r="F70" i="1"/>
  <c r="G70" i="1"/>
  <c r="H70" i="1"/>
  <c r="I70" i="1"/>
  <c r="J70" i="1"/>
  <c r="K70" i="1"/>
  <c r="L70" i="1"/>
  <c r="M70" i="1"/>
  <c r="N70" i="1"/>
  <c r="O70" i="1"/>
  <c r="P70" i="1"/>
  <c r="F71" i="1"/>
  <c r="G71" i="1"/>
  <c r="H71" i="1"/>
  <c r="I71" i="1"/>
  <c r="J71" i="1"/>
  <c r="K71" i="1"/>
  <c r="L71" i="1"/>
  <c r="M71" i="1"/>
  <c r="N71" i="1"/>
  <c r="O71" i="1"/>
  <c r="P71" i="1"/>
  <c r="F72" i="1"/>
  <c r="G72" i="1"/>
  <c r="H72" i="1"/>
  <c r="I72" i="1"/>
  <c r="J72" i="1"/>
  <c r="K72" i="1"/>
  <c r="L72" i="1"/>
  <c r="M72" i="1"/>
  <c r="N72" i="1"/>
  <c r="O72" i="1"/>
  <c r="P72" i="1"/>
  <c r="F73" i="1"/>
  <c r="G73" i="1"/>
  <c r="H73" i="1"/>
  <c r="I73" i="1"/>
  <c r="J73" i="1"/>
  <c r="K73" i="1"/>
  <c r="L73" i="1"/>
  <c r="M73" i="1"/>
  <c r="N73" i="1"/>
  <c r="O73" i="1"/>
  <c r="P73" i="1"/>
  <c r="F74" i="1"/>
  <c r="G74" i="1"/>
  <c r="H74" i="1"/>
  <c r="I74" i="1"/>
  <c r="J74" i="1"/>
  <c r="K74" i="1"/>
  <c r="L74" i="1"/>
  <c r="M74" i="1"/>
  <c r="N74" i="1"/>
  <c r="O74" i="1"/>
  <c r="P74" i="1"/>
  <c r="F75" i="1"/>
  <c r="G75" i="1"/>
  <c r="H75" i="1"/>
  <c r="I75" i="1"/>
  <c r="J75" i="1"/>
  <c r="K75" i="1"/>
  <c r="L75" i="1"/>
  <c r="M75" i="1"/>
  <c r="N75" i="1"/>
  <c r="O75" i="1"/>
  <c r="P75" i="1"/>
  <c r="F76" i="1"/>
  <c r="G76" i="1"/>
  <c r="H76" i="1"/>
  <c r="I76" i="1"/>
  <c r="J76" i="1"/>
  <c r="K76" i="1"/>
  <c r="L76" i="1"/>
  <c r="M76" i="1"/>
  <c r="N76" i="1"/>
  <c r="O76" i="1"/>
  <c r="P76" i="1"/>
  <c r="F77" i="1"/>
  <c r="G77" i="1"/>
  <c r="H77" i="1"/>
  <c r="I77" i="1"/>
  <c r="J77" i="1"/>
  <c r="K77" i="1"/>
  <c r="L77" i="1"/>
  <c r="M77" i="1"/>
  <c r="N77" i="1"/>
  <c r="O77" i="1"/>
  <c r="P77" i="1"/>
  <c r="F78" i="1"/>
  <c r="G78" i="1"/>
  <c r="H78" i="1"/>
  <c r="I78" i="1"/>
  <c r="J78" i="1"/>
  <c r="K78" i="1"/>
  <c r="L78" i="1"/>
  <c r="M78" i="1"/>
  <c r="N78" i="1"/>
  <c r="O78" i="1"/>
  <c r="P78" i="1"/>
  <c r="F79" i="1"/>
  <c r="G79" i="1"/>
  <c r="H79" i="1"/>
  <c r="I79" i="1"/>
  <c r="J79" i="1"/>
  <c r="K79" i="1"/>
  <c r="L79" i="1"/>
  <c r="M79" i="1"/>
  <c r="N79" i="1"/>
  <c r="O79" i="1"/>
  <c r="P79" i="1"/>
  <c r="F80" i="1"/>
  <c r="G80" i="1"/>
  <c r="H80" i="1"/>
  <c r="I80" i="1"/>
  <c r="J80" i="1"/>
  <c r="K80" i="1"/>
  <c r="L80" i="1"/>
  <c r="M80" i="1"/>
  <c r="N80" i="1"/>
  <c r="O80" i="1"/>
  <c r="P80" i="1"/>
  <c r="F81" i="1"/>
  <c r="G81" i="1"/>
  <c r="H81" i="1"/>
  <c r="I81" i="1"/>
  <c r="J81" i="1"/>
  <c r="K81" i="1"/>
  <c r="L81" i="1"/>
  <c r="M81" i="1"/>
  <c r="N81" i="1"/>
  <c r="O81" i="1"/>
  <c r="P81" i="1"/>
  <c r="F82" i="1"/>
  <c r="G82" i="1"/>
  <c r="H82" i="1"/>
  <c r="I82" i="1"/>
  <c r="J82" i="1"/>
  <c r="K82" i="1"/>
  <c r="L82" i="1"/>
  <c r="M82" i="1"/>
  <c r="N82" i="1"/>
  <c r="O82" i="1"/>
  <c r="P82" i="1"/>
  <c r="F83" i="1"/>
  <c r="G83" i="1"/>
  <c r="H83" i="1"/>
  <c r="I83" i="1"/>
  <c r="J83" i="1"/>
  <c r="K83" i="1"/>
  <c r="L83" i="1"/>
  <c r="M83" i="1"/>
  <c r="N83" i="1"/>
  <c r="O83" i="1"/>
  <c r="P83" i="1"/>
  <c r="F84" i="1"/>
  <c r="G84" i="1"/>
  <c r="H84" i="1"/>
  <c r="I84" i="1"/>
  <c r="J84" i="1"/>
  <c r="K84" i="1"/>
  <c r="L84" i="1"/>
  <c r="M84" i="1"/>
  <c r="N84" i="1"/>
  <c r="O84" i="1"/>
  <c r="P84" i="1"/>
  <c r="F85" i="1"/>
  <c r="G85" i="1"/>
  <c r="H85" i="1"/>
  <c r="I85" i="1"/>
  <c r="J85" i="1"/>
  <c r="K85" i="1"/>
  <c r="L85" i="1"/>
  <c r="M85" i="1"/>
  <c r="N85" i="1"/>
  <c r="O85" i="1"/>
  <c r="P85" i="1"/>
  <c r="F86" i="1"/>
  <c r="G86" i="1"/>
  <c r="H86" i="1"/>
  <c r="I86" i="1"/>
  <c r="J86" i="1"/>
  <c r="K86" i="1"/>
  <c r="L86" i="1"/>
  <c r="M86" i="1"/>
  <c r="N86" i="1"/>
  <c r="O86" i="1"/>
  <c r="P86" i="1"/>
  <c r="F87" i="1"/>
  <c r="G87" i="1"/>
  <c r="H87" i="1"/>
  <c r="I87" i="1"/>
  <c r="J87" i="1"/>
  <c r="K87" i="1"/>
  <c r="L87" i="1"/>
  <c r="M87" i="1"/>
  <c r="N87" i="1"/>
  <c r="O87" i="1"/>
  <c r="P87" i="1"/>
  <c r="F88" i="1"/>
  <c r="G88" i="1"/>
  <c r="H88" i="1"/>
  <c r="I88" i="1"/>
  <c r="J88" i="1"/>
  <c r="K88" i="1"/>
  <c r="L88" i="1"/>
  <c r="M88" i="1"/>
  <c r="N88" i="1"/>
  <c r="O88" i="1"/>
  <c r="P88" i="1"/>
  <c r="F89" i="1"/>
  <c r="G89" i="1"/>
  <c r="H89" i="1"/>
  <c r="I89" i="1"/>
  <c r="J89" i="1"/>
  <c r="K89" i="1"/>
  <c r="L89" i="1"/>
  <c r="M89" i="1"/>
  <c r="N89" i="1"/>
  <c r="O89" i="1"/>
  <c r="P89" i="1"/>
  <c r="F90" i="1"/>
  <c r="G90" i="1"/>
  <c r="H90" i="1"/>
  <c r="I90" i="1"/>
  <c r="J90" i="1"/>
  <c r="K90" i="1"/>
  <c r="L90" i="1"/>
  <c r="M90" i="1"/>
  <c r="N90" i="1"/>
  <c r="O90" i="1"/>
  <c r="P90" i="1"/>
  <c r="F91" i="1"/>
  <c r="G91" i="1"/>
  <c r="H91" i="1"/>
  <c r="I91" i="1"/>
  <c r="J91" i="1"/>
  <c r="K91" i="1"/>
  <c r="L91" i="1"/>
  <c r="M91" i="1"/>
  <c r="N91" i="1"/>
  <c r="O91" i="1"/>
  <c r="P91" i="1"/>
  <c r="F92" i="1"/>
  <c r="G92" i="1"/>
  <c r="H92" i="1"/>
  <c r="I92" i="1"/>
  <c r="J92" i="1"/>
  <c r="K92" i="1"/>
  <c r="L92" i="1"/>
  <c r="M92" i="1"/>
  <c r="N92" i="1"/>
  <c r="O92" i="1"/>
  <c r="P92" i="1"/>
  <c r="G69" i="1"/>
  <c r="G10" i="1" s="1"/>
  <c r="H69" i="1"/>
  <c r="H10" i="1" s="1"/>
  <c r="I69" i="1"/>
  <c r="I10" i="1" s="1"/>
  <c r="J69" i="1"/>
  <c r="J10" i="1" s="1"/>
  <c r="K69" i="1"/>
  <c r="K10" i="1" s="1"/>
  <c r="L69" i="1"/>
  <c r="L10" i="1" s="1"/>
  <c r="M69" i="1"/>
  <c r="M10" i="1" s="1"/>
  <c r="N69" i="1"/>
  <c r="N10" i="1" s="1"/>
  <c r="O69" i="1"/>
  <c r="O10" i="1" s="1"/>
  <c r="P69" i="1"/>
  <c r="P10" i="1" s="1"/>
  <c r="F69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E42" i="1"/>
  <c r="F42" i="1"/>
  <c r="G42" i="1"/>
  <c r="H42" i="1"/>
  <c r="I42" i="1"/>
  <c r="J42" i="1"/>
  <c r="K42" i="1"/>
  <c r="L42" i="1"/>
  <c r="M42" i="1"/>
  <c r="N42" i="1"/>
  <c r="O42" i="1"/>
  <c r="P42" i="1"/>
  <c r="D42" i="1"/>
  <c r="F12" i="1" l="1"/>
  <c r="M12" i="1"/>
  <c r="L12" i="1"/>
  <c r="I12" i="1"/>
  <c r="P12" i="1"/>
  <c r="H12" i="1"/>
  <c r="O12" i="1"/>
  <c r="K12" i="1"/>
  <c r="G12" i="1"/>
  <c r="N12" i="1"/>
  <c r="J12" i="1"/>
  <c r="G11" i="1"/>
  <c r="M13" i="1"/>
  <c r="K11" i="1"/>
  <c r="L11" i="1"/>
  <c r="I13" i="1"/>
  <c r="P13" i="1"/>
  <c r="H11" i="1"/>
  <c r="M11" i="1"/>
  <c r="N13" i="1"/>
  <c r="O11" i="1"/>
  <c r="G13" i="1"/>
  <c r="K13" i="1"/>
  <c r="F13" i="1"/>
  <c r="N11" i="1"/>
  <c r="J11" i="1"/>
  <c r="F11" i="1"/>
  <c r="P11" i="1"/>
  <c r="L13" i="1"/>
  <c r="H13" i="1"/>
  <c r="O13" i="1"/>
  <c r="J13" i="1"/>
  <c r="I11" i="1"/>
</calcChain>
</file>

<file path=xl/sharedStrings.xml><?xml version="1.0" encoding="utf-8"?>
<sst xmlns="http://schemas.openxmlformats.org/spreadsheetml/2006/main" count="85" uniqueCount="37">
  <si>
    <t>SUNY College at Geneseo</t>
  </si>
  <si>
    <t>University at Buffalo</t>
  </si>
  <si>
    <t>SUNY Brockport</t>
  </si>
  <si>
    <t>Entering FTFT Fall Enrollment (by cohort)</t>
  </si>
  <si>
    <t>3yr % change Entering First-Time Full-Time</t>
  </si>
  <si>
    <t>25th Percentile</t>
  </si>
  <si>
    <t>75th Percentile</t>
  </si>
  <si>
    <t>1yr % change Entering First-Time Full-Time</t>
  </si>
  <si>
    <t>Binghamton University</t>
  </si>
  <si>
    <t>Empire State University</t>
  </si>
  <si>
    <t>Farmingdale State College</t>
  </si>
  <si>
    <t>State University of New York at Cortland</t>
  </si>
  <si>
    <t>State University of New York at New Paltz</t>
  </si>
  <si>
    <t>State University of New York at Oswego</t>
  </si>
  <si>
    <t>State University of New York at Plattsburgh</t>
  </si>
  <si>
    <t>Stony Brook University</t>
  </si>
  <si>
    <t>SUNY at Fredonia</t>
  </si>
  <si>
    <t>SUNY at Purchase College</t>
  </si>
  <si>
    <t>SUNY Buffalo State University</t>
  </si>
  <si>
    <t>SUNY College at Potsdam</t>
  </si>
  <si>
    <t>SUNY College of Agriculture and Technology at Cobleskill</t>
  </si>
  <si>
    <t>SUNY College of Environmental Science and Forestry</t>
  </si>
  <si>
    <t>SUNY College of Technology at Canton</t>
  </si>
  <si>
    <t>SUNY College of Technology at Delhi</t>
  </si>
  <si>
    <t>SUNY Maritime College</t>
  </si>
  <si>
    <t>SUNY Old Westbury</t>
  </si>
  <si>
    <t>SUNY Oneonta</t>
  </si>
  <si>
    <t>SUNY Polytechnic Institute</t>
  </si>
  <si>
    <t>University at Albany</t>
  </si>
  <si>
    <t>Median</t>
  </si>
  <si>
    <t>A simple method of benchmarking using IPEDS data.</t>
  </si>
  <si>
    <t>Use the IPEDS Use the Data section titled "Shortcuts" to save and upload variable (.mvl) and instituion (.uid) files</t>
  </si>
  <si>
    <t>The process for making variable files tends to be straightforward. The button to "export" is hidden in some innocuous text, so seek out a blue button labeled "export" for institution files.</t>
  </si>
  <si>
    <t>If you store a respository of variable files, you can update the referenced variable dates/years and upload them again the next year. You can also create files for multiple benchmarking variables.</t>
  </si>
  <si>
    <t>-Robert Cilino</t>
  </si>
  <si>
    <t>You can then use the Excel Camera Tool to create dynamic screenshots that change based on data or charts screenshotted. (is it just screenshot? Grammar is funny)</t>
  </si>
  <si>
    <t>This is available by editing the Quick Access Toolbar in Excel's options. There is a dropdown where you can switch to "All Commands"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</si>
</sst>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2" xfId="0" applyBorder="1" applyAlignment="1">
      <alignment horizontal="center"/>
    </xf>
    <xf numFmtId="9" fontId="0" fillId="0" borderId="2" xfId="1" applyFont="1" applyBorder="1" applyAlignment="1">
      <alignment horizontal="center"/>
    </xf>
    <xf numFmtId="9" fontId="0" fillId="0" borderId="0" xfId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9" fontId="0" fillId="0" borderId="1" xfId="1" applyFont="1" applyBorder="1" applyAlignment="1">
      <alignment horizontal="center"/>
    </xf>
    <xf numFmtId="9" fontId="0" fillId="0" borderId="3" xfId="1" applyFont="1" applyBorder="1"/>
    <xf numFmtId="9" fontId="0" fillId="0" borderId="0" xfId="0" applyNumberFormat="1"/>
    <xf numFmtId="0" fontId="2" fillId="0" borderId="0" xfId="0" applyFont="1" applyAlignment="1">
      <alignment horizontal="right"/>
    </xf>
    <xf numFmtId="49" fontId="2" fillId="0" borderId="0" xfId="0" applyNumberFormat="1" applyFont="1"/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AF4E4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3-Year %-Change - Entering First-Time Full-Time</a:t>
            </a:r>
            <a:r>
              <a:rPr lang="en-US" baseline="0"/>
              <a:t> Students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'Entrant Enrollment'!$C$10:$E$10</c:f>
              <c:strCache>
                <c:ptCount val="3"/>
                <c:pt idx="2">
                  <c:v>Binghamton University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'Entrant Enrollment'!$F$9:$P$9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'Entrant Enrollment'!$F$10:$P$10</c:f>
              <c:numCache>
                <c:formatCode>0%</c:formatCode>
                <c:ptCount val="11"/>
                <c:pt idx="0">
                  <c:v>0.13442481688927185</c:v>
                </c:pt>
                <c:pt idx="1">
                  <c:v>3.4181240063593007E-2</c:v>
                </c:pt>
                <c:pt idx="2">
                  <c:v>-1.1261261261261261E-3</c:v>
                </c:pt>
                <c:pt idx="3">
                  <c:v>2.8484618306114699E-2</c:v>
                </c:pt>
                <c:pt idx="4">
                  <c:v>5.1498847040737893E-2</c:v>
                </c:pt>
                <c:pt idx="5">
                  <c:v>0.10822998872604284</c:v>
                </c:pt>
                <c:pt idx="6">
                  <c:v>7.5332348596750365E-2</c:v>
                </c:pt>
                <c:pt idx="7">
                  <c:v>5.8479532163742687E-2</c:v>
                </c:pt>
                <c:pt idx="8">
                  <c:v>4.7473719905052558E-2</c:v>
                </c:pt>
                <c:pt idx="9">
                  <c:v>6.6964285714285712E-2</c:v>
                </c:pt>
                <c:pt idx="10">
                  <c:v>6.8715469613259667E-2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5E-46A8-A015-43E193B085DA}"/>
            </c:ext>
          </c:extLst>
        </c:ser>
        <c:ser>
          <c:idx val="1"/>
          <c:order val="1"/>
          <c:tx>
            <c:strRef>
              <c:f>'Entrant Enrollment'!$C$11:$E$11</c:f>
              <c:strCache>
                <c:ptCount val="3"/>
                <c:pt idx="2">
                  <c:v>25th Percentile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'Entrant Enrollment'!$F$9:$P$9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'Entrant Enrollment'!$F$11:$P$11</c:f>
              <c:numCache>
                <c:formatCode>0%</c:formatCode>
                <c:ptCount val="11"/>
                <c:pt idx="0">
                  <c:v>-1.783442073390527E-2</c:v>
                </c:pt>
                <c:pt idx="1">
                  <c:v>-2.7172796383809331E-2</c:v>
                </c:pt>
                <c:pt idx="2">
                  <c:v>-4.5793341762694333E-2</c:v>
                </c:pt>
                <c:pt idx="3">
                  <c:v>-7.044564034927267E-2</c:v>
                </c:pt>
                <c:pt idx="4">
                  <c:v>1.4426572155579789E-2</c:v>
                </c:pt>
                <c:pt idx="5">
                  <c:v>-3.4076129214674483E-2</c:v>
                </c:pt>
                <c:pt idx="6">
                  <c:v>-0.11684386084557913</c:v>
                </c:pt>
                <c:pt idx="7">
                  <c:v>-0.18082042192223086</c:v>
                </c:pt>
                <c:pt idx="8">
                  <c:v>-0.11746801705756929</c:v>
                </c:pt>
                <c:pt idx="9">
                  <c:v>-2.3001005838219301E-2</c:v>
                </c:pt>
                <c:pt idx="10">
                  <c:v>-3.3106946155097489E-2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5E-46A8-A015-43E193B085DA}"/>
            </c:ext>
          </c:extLst>
        </c:ser>
        <c:ser>
          <c:idx val="2"/>
          <c:order val="2"/>
          <c:tx>
            <c:strRef>
              <c:f>'Entrant Enrollment'!$C$12:$E$12</c:f>
              <c:strCache>
                <c:ptCount val="3"/>
                <c:pt idx="2">
                  <c:v>Median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'Entrant Enrollment'!$F$9:$P$9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'Entrant Enrollment'!$F$12:$P$12</c:f>
              <c:numCache>
                <c:formatCode>0%</c:formatCode>
                <c:ptCount val="11"/>
                <c:pt idx="0">
                  <c:v>-2.1951919112242519E-3</c:v>
                </c:pt>
                <c:pt idx="1">
                  <c:v>1.0087245116033499E-3</c:v>
                </c:pt>
                <c:pt idx="2">
                  <c:v>0</c:v>
                </c:pt>
                <c:pt idx="3">
                  <c:v>1.4855362826729692E-2</c:v>
                </c:pt>
                <c:pt idx="4">
                  <c:v>6.2935389468002562E-2</c:v>
                </c:pt>
                <c:pt idx="5">
                  <c:v>2.3208145993123513E-2</c:v>
                </c:pt>
                <c:pt idx="6">
                  <c:v>-4.3827820640134449E-2</c:v>
                </c:pt>
                <c:pt idx="7">
                  <c:v>-0.11338016946921356</c:v>
                </c:pt>
                <c:pt idx="8">
                  <c:v>-3.7276691753160174E-2</c:v>
                </c:pt>
                <c:pt idx="9">
                  <c:v>2.9602824360105917E-2</c:v>
                </c:pt>
                <c:pt idx="10">
                  <c:v>4.2224575988915089E-2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5E-46A8-A015-43E193B085DA}"/>
            </c:ext>
          </c:extLst>
        </c:ser>
        <c:ser>
          <c:idx val="3"/>
          <c:order val="3"/>
          <c:tx>
            <c:strRef>
              <c:f>'Entrant Enrollment'!$C$13:$E$13</c:f>
              <c:strCache>
                <c:ptCount val="3"/>
                <c:pt idx="2">
                  <c:v>75th Percentile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'Entrant Enrollment'!$F$9:$P$9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'Entrant Enrollment'!$F$13:$P$13</c:f>
              <c:numCache>
                <c:formatCode>0%</c:formatCode>
                <c:ptCount val="11"/>
                <c:pt idx="0">
                  <c:v>3.2883543659405726E-2</c:v>
                </c:pt>
                <c:pt idx="1">
                  <c:v>6.4670287783495331E-2</c:v>
                </c:pt>
                <c:pt idx="2">
                  <c:v>2.9079411190397073E-2</c:v>
                </c:pt>
                <c:pt idx="3">
                  <c:v>5.41497772806184E-2</c:v>
                </c:pt>
                <c:pt idx="4">
                  <c:v>0.10743123971279311</c:v>
                </c:pt>
                <c:pt idx="5">
                  <c:v>5.4984362765586589E-2</c:v>
                </c:pt>
                <c:pt idx="6">
                  <c:v>-1.1868985874622684E-2</c:v>
                </c:pt>
                <c:pt idx="7">
                  <c:v>-4.3530053975736425E-3</c:v>
                </c:pt>
                <c:pt idx="8">
                  <c:v>5.3061839958209692E-2</c:v>
                </c:pt>
                <c:pt idx="9">
                  <c:v>0.17338018873223615</c:v>
                </c:pt>
                <c:pt idx="10">
                  <c:v>0.12736118344617603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5E-46A8-A015-43E193B08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19887"/>
        <c:axId val="34920367"/>
      </c:lineChart>
      <c:catAx>
        <c:axId val="3491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0367"/>
        <c:crosses val="autoZero"/>
        <c:auto val="1"/>
        <c:lblAlgn val="ctr"/>
        <c:lblOffset val="100"/>
        <c:noMultiLvlLbl val="0"/>
      </c:catAx>
      <c:valAx>
        <c:axId val="3492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1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609599</xdr:colOff>
      <xdr:row>9</xdr:row>
      <xdr:rowOff>0</xdr:rowOff>
    </xdr:from>
    <xdr:to>
      <xdr:col>28</xdr:col>
      <xdr:colOff>9524</xdr:colOff>
      <xdr:row>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B6F667-CE1C-BE32-6A0A-A4C2246E6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505E-41AC-4DA9-936E-8FC5580E1DCF}">
  <dimension ref="A1:P92"/>
  <sheetViews>
    <sheetView tabSelected="1" workbookViewId="0"/>
  </sheetViews>
  <sheetFormatPr defaultRowHeight="15" x14ac:dyDescent="0.25"/>
  <cols>
    <col min="1" max="1" width="8.5703125" bestFit="1" customWidth="1"/>
    <col min="2" max="2" width="34.7109375" bestFit="1" customWidth="1"/>
    <col min="3" max="16" width="7.140625" customWidth="1"/>
  </cols>
  <sheetData>
    <row r="1" spans="1:16" x14ac:dyDescent="0.25">
      <c r="A1" s="2" t="s">
        <v>30</v>
      </c>
    </row>
    <row r="2" spans="1:16" x14ac:dyDescent="0.25">
      <c r="A2" s="2" t="s">
        <v>31</v>
      </c>
    </row>
    <row r="3" spans="1:16" x14ac:dyDescent="0.25">
      <c r="A3" s="2" t="s">
        <v>32</v>
      </c>
    </row>
    <row r="4" spans="1:16" x14ac:dyDescent="0.25">
      <c r="A4" s="2" t="s">
        <v>33</v>
      </c>
    </row>
    <row r="5" spans="1:16" x14ac:dyDescent="0.25">
      <c r="A5" s="2" t="s">
        <v>35</v>
      </c>
    </row>
    <row r="6" spans="1:16" x14ac:dyDescent="0.25">
      <c r="A6" s="2" t="s">
        <v>36</v>
      </c>
    </row>
    <row r="7" spans="1:16" x14ac:dyDescent="0.25">
      <c r="A7" s="14" t="s">
        <v>34</v>
      </c>
    </row>
    <row r="9" spans="1:16" x14ac:dyDescent="0.25">
      <c r="F9" s="2">
        <f t="shared" ref="F9:P9" si="0">F68</f>
        <v>2013</v>
      </c>
      <c r="G9" s="2">
        <f t="shared" si="0"/>
        <v>2014</v>
      </c>
      <c r="H9" s="2">
        <f t="shared" si="0"/>
        <v>2015</v>
      </c>
      <c r="I9" s="2">
        <f t="shared" si="0"/>
        <v>2016</v>
      </c>
      <c r="J9" s="2">
        <f t="shared" si="0"/>
        <v>2017</v>
      </c>
      <c r="K9" s="2">
        <f t="shared" si="0"/>
        <v>2018</v>
      </c>
      <c r="L9" s="2">
        <f t="shared" si="0"/>
        <v>2019</v>
      </c>
      <c r="M9" s="2">
        <f t="shared" si="0"/>
        <v>2020</v>
      </c>
      <c r="N9" s="2">
        <f t="shared" si="0"/>
        <v>2021</v>
      </c>
      <c r="O9" s="2">
        <f t="shared" si="0"/>
        <v>2022</v>
      </c>
      <c r="P9" s="2">
        <f t="shared" si="0"/>
        <v>2023</v>
      </c>
    </row>
    <row r="10" spans="1:16" x14ac:dyDescent="0.25">
      <c r="C10" s="12"/>
      <c r="D10" s="12"/>
      <c r="E10" s="13" t="str">
        <f>B42</f>
        <v>Binghamton University</v>
      </c>
      <c r="F10" s="12">
        <f>F69</f>
        <v>0.13442481688927185</v>
      </c>
      <c r="G10" s="12">
        <f t="shared" ref="G10:P10" si="1">G69</f>
        <v>3.4181240063593007E-2</v>
      </c>
      <c r="H10" s="12">
        <f t="shared" si="1"/>
        <v>-1.1261261261261261E-3</v>
      </c>
      <c r="I10" s="12">
        <f t="shared" si="1"/>
        <v>2.8484618306114699E-2</v>
      </c>
      <c r="J10" s="12">
        <f t="shared" si="1"/>
        <v>5.1498847040737893E-2</v>
      </c>
      <c r="K10" s="12">
        <f t="shared" si="1"/>
        <v>0.10822998872604284</v>
      </c>
      <c r="L10" s="12">
        <f t="shared" si="1"/>
        <v>7.5332348596750365E-2</v>
      </c>
      <c r="M10" s="12">
        <f t="shared" si="1"/>
        <v>5.8479532163742687E-2</v>
      </c>
      <c r="N10" s="12">
        <f t="shared" si="1"/>
        <v>4.7473719905052558E-2</v>
      </c>
      <c r="O10" s="12">
        <f t="shared" si="1"/>
        <v>6.6964285714285712E-2</v>
      </c>
      <c r="P10" s="12">
        <f t="shared" si="1"/>
        <v>6.8715469613259667E-2</v>
      </c>
    </row>
    <row r="11" spans="1:16" x14ac:dyDescent="0.25">
      <c r="D11" s="6"/>
      <c r="E11" s="13" t="s">
        <v>5</v>
      </c>
      <c r="F11" s="6">
        <f t="shared" ref="F11:O11" si="2">_xlfn.PERCENTILE.INC(F42:F65,0.25)</f>
        <v>-1.783442073390527E-2</v>
      </c>
      <c r="G11" s="6">
        <f t="shared" si="2"/>
        <v>-2.7172796383809331E-2</v>
      </c>
      <c r="H11" s="6">
        <f t="shared" si="2"/>
        <v>-4.5793341762694333E-2</v>
      </c>
      <c r="I11" s="6">
        <f t="shared" si="2"/>
        <v>-7.044564034927267E-2</v>
      </c>
      <c r="J11" s="6">
        <f t="shared" si="2"/>
        <v>1.4426572155579789E-2</v>
      </c>
      <c r="K11" s="6">
        <f t="shared" si="2"/>
        <v>-3.4076129214674483E-2</v>
      </c>
      <c r="L11" s="6">
        <f t="shared" si="2"/>
        <v>-0.11684386084557913</v>
      </c>
      <c r="M11" s="6">
        <f t="shared" si="2"/>
        <v>-0.18082042192223086</v>
      </c>
      <c r="N11" s="6">
        <f t="shared" si="2"/>
        <v>-0.11746801705756929</v>
      </c>
      <c r="O11" s="6">
        <f t="shared" si="2"/>
        <v>-2.3001005838219301E-2</v>
      </c>
      <c r="P11" s="6">
        <f>_xlfn.PERCENTILE.INC(P42:P65,0.25)</f>
        <v>-3.3106946155097489E-2</v>
      </c>
    </row>
    <row r="12" spans="1:16" x14ac:dyDescent="0.25">
      <c r="D12" s="6"/>
      <c r="E12" s="13" t="s">
        <v>29</v>
      </c>
      <c r="F12" s="6">
        <f>MEDIAN(F42:F65)</f>
        <v>-2.1951919112242519E-3</v>
      </c>
      <c r="G12" s="6">
        <f t="shared" ref="G12:P12" si="3">MEDIAN(G42:G65)</f>
        <v>1.0087245116033499E-3</v>
      </c>
      <c r="H12" s="6">
        <f t="shared" si="3"/>
        <v>0</v>
      </c>
      <c r="I12" s="6">
        <f t="shared" si="3"/>
        <v>1.4855362826729692E-2</v>
      </c>
      <c r="J12" s="6">
        <f t="shared" si="3"/>
        <v>6.2935389468002562E-2</v>
      </c>
      <c r="K12" s="6">
        <f t="shared" si="3"/>
        <v>2.3208145993123513E-2</v>
      </c>
      <c r="L12" s="6">
        <f t="shared" si="3"/>
        <v>-4.3827820640134449E-2</v>
      </c>
      <c r="M12" s="6">
        <f t="shared" si="3"/>
        <v>-0.11338016946921356</v>
      </c>
      <c r="N12" s="6">
        <f t="shared" si="3"/>
        <v>-3.7276691753160174E-2</v>
      </c>
      <c r="O12" s="6">
        <f t="shared" si="3"/>
        <v>2.9602824360105917E-2</v>
      </c>
      <c r="P12" s="6">
        <f t="shared" si="3"/>
        <v>4.2224575988915089E-2</v>
      </c>
    </row>
    <row r="13" spans="1:16" x14ac:dyDescent="0.25">
      <c r="D13" s="6"/>
      <c r="E13" s="13" t="s">
        <v>6</v>
      </c>
      <c r="F13" s="6">
        <f t="shared" ref="F13:O13" si="4">_xlfn.PERCENTILE.INC(F42:F65,0.75)</f>
        <v>3.2883543659405726E-2</v>
      </c>
      <c r="G13" s="6">
        <f t="shared" si="4"/>
        <v>6.4670287783495331E-2</v>
      </c>
      <c r="H13" s="6">
        <f t="shared" si="4"/>
        <v>2.9079411190397073E-2</v>
      </c>
      <c r="I13" s="6">
        <f t="shared" si="4"/>
        <v>5.41497772806184E-2</v>
      </c>
      <c r="J13" s="6">
        <f t="shared" si="4"/>
        <v>0.10743123971279311</v>
      </c>
      <c r="K13" s="6">
        <f t="shared" si="4"/>
        <v>5.4984362765586589E-2</v>
      </c>
      <c r="L13" s="6">
        <f t="shared" si="4"/>
        <v>-1.1868985874622684E-2</v>
      </c>
      <c r="M13" s="6">
        <f t="shared" si="4"/>
        <v>-4.3530053975736425E-3</v>
      </c>
      <c r="N13" s="6">
        <f t="shared" si="4"/>
        <v>5.3061839958209692E-2</v>
      </c>
      <c r="O13" s="6">
        <f t="shared" si="4"/>
        <v>0.17338018873223615</v>
      </c>
      <c r="P13" s="6">
        <f>_xlfn.PERCENTILE.INC(P42:P65,0.75)</f>
        <v>0.12736118344617603</v>
      </c>
    </row>
    <row r="15" spans="1:16" x14ac:dyDescent="0.25">
      <c r="A15" s="15" t="s">
        <v>3</v>
      </c>
      <c r="B15" s="15"/>
      <c r="C15" s="1">
        <v>2010</v>
      </c>
      <c r="D15" s="1">
        <v>2011</v>
      </c>
      <c r="E15" s="1">
        <v>2012</v>
      </c>
      <c r="F15" s="1">
        <v>2013</v>
      </c>
      <c r="G15" s="1">
        <v>2014</v>
      </c>
      <c r="H15" s="1">
        <v>2015</v>
      </c>
      <c r="I15" s="1">
        <v>2016</v>
      </c>
      <c r="J15" s="1">
        <v>2017</v>
      </c>
      <c r="K15" s="1">
        <v>2018</v>
      </c>
      <c r="L15" s="1">
        <v>2019</v>
      </c>
      <c r="M15" s="1">
        <v>2020</v>
      </c>
      <c r="N15" s="1">
        <v>2021</v>
      </c>
      <c r="O15" s="1">
        <v>2022</v>
      </c>
      <c r="P15" s="1">
        <v>2023</v>
      </c>
    </row>
    <row r="16" spans="1:16" x14ac:dyDescent="0.25">
      <c r="A16">
        <v>196079</v>
      </c>
      <c r="B16" s="3" t="s">
        <v>8</v>
      </c>
      <c r="C16" s="8">
        <v>2321</v>
      </c>
      <c r="D16" s="4">
        <v>2516</v>
      </c>
      <c r="E16" s="4">
        <v>2664</v>
      </c>
      <c r="F16" s="4">
        <v>2633</v>
      </c>
      <c r="G16" s="4">
        <v>2602</v>
      </c>
      <c r="H16" s="4">
        <v>2661</v>
      </c>
      <c r="I16" s="4">
        <v>2708</v>
      </c>
      <c r="J16" s="4">
        <v>2736</v>
      </c>
      <c r="K16" s="4">
        <v>2949</v>
      </c>
      <c r="L16" s="4">
        <v>2912</v>
      </c>
      <c r="M16" s="4">
        <v>2896</v>
      </c>
      <c r="N16" s="4">
        <v>3089</v>
      </c>
      <c r="O16" s="4">
        <v>3107</v>
      </c>
      <c r="P16" s="9">
        <v>3095</v>
      </c>
    </row>
    <row r="17" spans="1:16" x14ac:dyDescent="0.25">
      <c r="A17">
        <v>196264</v>
      </c>
      <c r="B17" s="3" t="s">
        <v>9</v>
      </c>
      <c r="C17" s="8">
        <v>241</v>
      </c>
      <c r="D17" s="4">
        <v>381</v>
      </c>
      <c r="E17" s="4">
        <v>433</v>
      </c>
      <c r="F17" s="4">
        <v>373</v>
      </c>
      <c r="G17" s="4">
        <v>349</v>
      </c>
      <c r="H17" s="4">
        <v>360</v>
      </c>
      <c r="I17" s="4">
        <v>351</v>
      </c>
      <c r="J17" s="4">
        <v>442</v>
      </c>
      <c r="K17" s="4">
        <v>232</v>
      </c>
      <c r="L17" s="4">
        <v>179</v>
      </c>
      <c r="M17" s="4">
        <v>147</v>
      </c>
      <c r="N17" s="4">
        <v>151</v>
      </c>
      <c r="O17" s="4">
        <v>190</v>
      </c>
      <c r="P17" s="9">
        <v>169</v>
      </c>
    </row>
    <row r="18" spans="1:16" x14ac:dyDescent="0.25">
      <c r="A18">
        <v>196042</v>
      </c>
      <c r="B18" s="3" t="s">
        <v>10</v>
      </c>
      <c r="C18" s="8">
        <v>891</v>
      </c>
      <c r="D18" s="4">
        <v>939</v>
      </c>
      <c r="E18" s="4">
        <v>1190</v>
      </c>
      <c r="F18" s="4">
        <v>1119</v>
      </c>
      <c r="G18" s="4">
        <v>1068</v>
      </c>
      <c r="H18" s="4">
        <v>1021</v>
      </c>
      <c r="I18" s="4">
        <v>1281</v>
      </c>
      <c r="J18" s="4">
        <v>1291</v>
      </c>
      <c r="K18" s="4">
        <v>1345</v>
      </c>
      <c r="L18" s="4">
        <v>1482</v>
      </c>
      <c r="M18" s="4">
        <v>1568</v>
      </c>
      <c r="N18" s="4">
        <v>1619</v>
      </c>
      <c r="O18" s="4">
        <v>1576</v>
      </c>
      <c r="P18" s="9">
        <v>1676</v>
      </c>
    </row>
    <row r="19" spans="1:16" x14ac:dyDescent="0.25">
      <c r="A19">
        <v>196149</v>
      </c>
      <c r="B19" s="3" t="s">
        <v>11</v>
      </c>
      <c r="C19" s="8">
        <v>1218</v>
      </c>
      <c r="D19" s="4">
        <v>1202</v>
      </c>
      <c r="E19" s="4">
        <v>1210</v>
      </c>
      <c r="F19" s="4">
        <v>1206</v>
      </c>
      <c r="G19" s="4">
        <v>1196</v>
      </c>
      <c r="H19" s="4">
        <v>1214</v>
      </c>
      <c r="I19" s="4">
        <v>1238</v>
      </c>
      <c r="J19" s="4">
        <v>1288</v>
      </c>
      <c r="K19" s="4">
        <v>1220</v>
      </c>
      <c r="L19" s="4">
        <v>1208</v>
      </c>
      <c r="M19" s="4">
        <v>1286</v>
      </c>
      <c r="N19" s="4">
        <v>1221</v>
      </c>
      <c r="O19" s="4">
        <v>1341</v>
      </c>
      <c r="P19" s="9">
        <v>1216</v>
      </c>
    </row>
    <row r="20" spans="1:16" x14ac:dyDescent="0.25">
      <c r="A20">
        <v>196176</v>
      </c>
      <c r="B20" s="3" t="s">
        <v>12</v>
      </c>
      <c r="C20" s="8">
        <v>1100</v>
      </c>
      <c r="D20" s="4">
        <v>1162</v>
      </c>
      <c r="E20" s="4">
        <v>1119</v>
      </c>
      <c r="F20" s="4">
        <v>1104</v>
      </c>
      <c r="G20" s="4">
        <v>1079</v>
      </c>
      <c r="H20" s="4">
        <v>1079</v>
      </c>
      <c r="I20" s="4">
        <v>1092</v>
      </c>
      <c r="J20" s="4">
        <v>1105</v>
      </c>
      <c r="K20" s="4">
        <v>1149</v>
      </c>
      <c r="L20" s="4">
        <v>1125</v>
      </c>
      <c r="M20" s="4">
        <v>973</v>
      </c>
      <c r="N20" s="4">
        <v>1133</v>
      </c>
      <c r="O20" s="4">
        <v>1163</v>
      </c>
      <c r="P20" s="9">
        <v>1119</v>
      </c>
    </row>
    <row r="21" spans="1:16" x14ac:dyDescent="0.25">
      <c r="A21">
        <v>196194</v>
      </c>
      <c r="B21" s="3" t="s">
        <v>13</v>
      </c>
      <c r="C21" s="8">
        <v>1392</v>
      </c>
      <c r="D21" s="4">
        <v>1337</v>
      </c>
      <c r="E21" s="4">
        <v>1271</v>
      </c>
      <c r="F21" s="4">
        <v>1506</v>
      </c>
      <c r="G21" s="4">
        <v>1417</v>
      </c>
      <c r="H21" s="4">
        <v>1486</v>
      </c>
      <c r="I21" s="4">
        <v>1441</v>
      </c>
      <c r="J21" s="4">
        <v>1463</v>
      </c>
      <c r="K21" s="4">
        <v>1482</v>
      </c>
      <c r="L21" s="4">
        <v>1422</v>
      </c>
      <c r="M21" s="4">
        <v>1270</v>
      </c>
      <c r="N21" s="4">
        <v>1168</v>
      </c>
      <c r="O21" s="4">
        <v>1468</v>
      </c>
      <c r="P21" s="9">
        <v>1191</v>
      </c>
    </row>
    <row r="22" spans="1:16" x14ac:dyDescent="0.25">
      <c r="A22">
        <v>196246</v>
      </c>
      <c r="B22" s="3" t="s">
        <v>14</v>
      </c>
      <c r="C22" s="8">
        <v>997</v>
      </c>
      <c r="D22" s="4">
        <v>961</v>
      </c>
      <c r="E22" s="4">
        <v>970</v>
      </c>
      <c r="F22" s="4">
        <v>954</v>
      </c>
      <c r="G22" s="4">
        <v>1036</v>
      </c>
      <c r="H22" s="4">
        <v>963</v>
      </c>
      <c r="I22" s="4">
        <v>1021</v>
      </c>
      <c r="J22" s="4">
        <v>1110</v>
      </c>
      <c r="K22" s="4">
        <v>1144</v>
      </c>
      <c r="L22" s="4">
        <v>961</v>
      </c>
      <c r="M22" s="4">
        <v>893</v>
      </c>
      <c r="N22" s="4">
        <v>920</v>
      </c>
      <c r="O22" s="4">
        <v>845</v>
      </c>
      <c r="P22" s="9">
        <v>789</v>
      </c>
    </row>
    <row r="23" spans="1:16" x14ac:dyDescent="0.25">
      <c r="A23">
        <v>196097</v>
      </c>
      <c r="B23" s="3" t="s">
        <v>15</v>
      </c>
      <c r="C23" s="8">
        <v>2741</v>
      </c>
      <c r="D23" s="4">
        <v>2520</v>
      </c>
      <c r="E23" s="4">
        <v>2676</v>
      </c>
      <c r="F23" s="4">
        <v>2709</v>
      </c>
      <c r="G23" s="4">
        <v>2855</v>
      </c>
      <c r="H23" s="4">
        <v>2836</v>
      </c>
      <c r="I23" s="4">
        <v>2934</v>
      </c>
      <c r="J23" s="4">
        <v>3167</v>
      </c>
      <c r="K23" s="4">
        <v>3383</v>
      </c>
      <c r="L23" s="4">
        <v>3372</v>
      </c>
      <c r="M23" s="4">
        <v>3322</v>
      </c>
      <c r="N23" s="4">
        <v>3416</v>
      </c>
      <c r="O23" s="4">
        <v>3347</v>
      </c>
      <c r="P23" s="9">
        <v>3569</v>
      </c>
    </row>
    <row r="24" spans="1:16" x14ac:dyDescent="0.25">
      <c r="A24">
        <v>196158</v>
      </c>
      <c r="B24" s="3" t="s">
        <v>16</v>
      </c>
      <c r="C24" s="8">
        <v>1079</v>
      </c>
      <c r="D24" s="4">
        <v>1123</v>
      </c>
      <c r="E24" s="4">
        <v>1004</v>
      </c>
      <c r="F24" s="4">
        <v>1099</v>
      </c>
      <c r="G24" s="4">
        <v>1071</v>
      </c>
      <c r="H24" s="4">
        <v>922</v>
      </c>
      <c r="I24" s="4">
        <v>931</v>
      </c>
      <c r="J24" s="4">
        <v>1128</v>
      </c>
      <c r="K24" s="4">
        <v>1177</v>
      </c>
      <c r="L24" s="4">
        <v>999</v>
      </c>
      <c r="M24" s="4">
        <v>758</v>
      </c>
      <c r="N24" s="4">
        <v>806</v>
      </c>
      <c r="O24" s="4">
        <v>716</v>
      </c>
      <c r="P24" s="9">
        <v>644</v>
      </c>
    </row>
    <row r="25" spans="1:16" x14ac:dyDescent="0.25">
      <c r="A25">
        <v>196219</v>
      </c>
      <c r="B25" s="3" t="s">
        <v>17</v>
      </c>
      <c r="C25" s="8">
        <v>672</v>
      </c>
      <c r="D25" s="4">
        <v>797</v>
      </c>
      <c r="E25" s="4">
        <v>694</v>
      </c>
      <c r="F25" s="4">
        <v>775</v>
      </c>
      <c r="G25" s="4">
        <v>750</v>
      </c>
      <c r="H25" s="4">
        <v>781</v>
      </c>
      <c r="I25" s="4">
        <v>723</v>
      </c>
      <c r="J25" s="4">
        <v>760</v>
      </c>
      <c r="K25" s="4">
        <v>892</v>
      </c>
      <c r="L25" s="4">
        <v>798</v>
      </c>
      <c r="M25" s="4">
        <v>647</v>
      </c>
      <c r="N25" s="4">
        <v>680</v>
      </c>
      <c r="O25" s="4">
        <v>687</v>
      </c>
      <c r="P25" s="9">
        <v>777</v>
      </c>
    </row>
    <row r="26" spans="1:16" x14ac:dyDescent="0.25">
      <c r="A26">
        <v>196121</v>
      </c>
      <c r="B26" s="3" t="s">
        <v>2</v>
      </c>
      <c r="C26" s="8">
        <v>1048</v>
      </c>
      <c r="D26" s="4">
        <v>1050</v>
      </c>
      <c r="E26" s="4">
        <v>1085</v>
      </c>
      <c r="F26" s="4">
        <v>1080</v>
      </c>
      <c r="G26" s="4">
        <v>1090</v>
      </c>
      <c r="H26" s="4">
        <v>1146</v>
      </c>
      <c r="I26" s="4">
        <v>1205</v>
      </c>
      <c r="J26" s="4">
        <v>1261</v>
      </c>
      <c r="K26" s="4">
        <v>1270</v>
      </c>
      <c r="L26" s="4">
        <v>1077</v>
      </c>
      <c r="M26" s="4">
        <v>1076</v>
      </c>
      <c r="N26" s="4">
        <v>1002</v>
      </c>
      <c r="O26" s="4">
        <v>1015</v>
      </c>
      <c r="P26" s="9">
        <v>1272</v>
      </c>
    </row>
    <row r="27" spans="1:16" x14ac:dyDescent="0.25">
      <c r="A27">
        <v>196130</v>
      </c>
      <c r="B27" s="3" t="s">
        <v>18</v>
      </c>
      <c r="C27" s="8">
        <v>1467</v>
      </c>
      <c r="D27" s="4">
        <v>1404</v>
      </c>
      <c r="E27" s="4">
        <v>1339</v>
      </c>
      <c r="F27" s="4">
        <v>1324</v>
      </c>
      <c r="G27" s="4">
        <v>1869</v>
      </c>
      <c r="H27" s="4">
        <v>1859</v>
      </c>
      <c r="I27" s="4">
        <v>1628</v>
      </c>
      <c r="J27" s="4">
        <v>1806</v>
      </c>
      <c r="K27" s="4">
        <v>1747</v>
      </c>
      <c r="L27" s="4">
        <v>1657</v>
      </c>
      <c r="M27" s="4">
        <v>1628</v>
      </c>
      <c r="N27" s="4">
        <v>1344</v>
      </c>
      <c r="O27" s="4">
        <v>1252</v>
      </c>
      <c r="P27" s="9">
        <v>1456</v>
      </c>
    </row>
    <row r="28" spans="1:16" x14ac:dyDescent="0.25">
      <c r="A28">
        <v>196167</v>
      </c>
      <c r="B28" s="3" t="s">
        <v>0</v>
      </c>
      <c r="C28" s="8">
        <v>836</v>
      </c>
      <c r="D28" s="4">
        <v>1010</v>
      </c>
      <c r="E28" s="4">
        <v>997</v>
      </c>
      <c r="F28" s="4">
        <v>1132</v>
      </c>
      <c r="G28" s="4">
        <v>1236</v>
      </c>
      <c r="H28" s="4">
        <v>1330</v>
      </c>
      <c r="I28" s="4">
        <v>1238</v>
      </c>
      <c r="J28" s="4">
        <v>1340</v>
      </c>
      <c r="K28" s="4">
        <v>1343</v>
      </c>
      <c r="L28" s="4">
        <v>1233</v>
      </c>
      <c r="M28" s="4">
        <v>891</v>
      </c>
      <c r="N28" s="4">
        <v>1007</v>
      </c>
      <c r="O28" s="4">
        <v>872</v>
      </c>
      <c r="P28" s="9">
        <v>982</v>
      </c>
    </row>
    <row r="29" spans="1:16" x14ac:dyDescent="0.25">
      <c r="A29">
        <v>196200</v>
      </c>
      <c r="B29" s="3" t="s">
        <v>19</v>
      </c>
      <c r="C29" s="8">
        <v>905</v>
      </c>
      <c r="D29" s="4">
        <v>897</v>
      </c>
      <c r="E29" s="4">
        <v>888</v>
      </c>
      <c r="F29" s="4">
        <v>821</v>
      </c>
      <c r="G29" s="4">
        <v>830</v>
      </c>
      <c r="H29" s="4">
        <v>854</v>
      </c>
      <c r="I29" s="4">
        <v>788</v>
      </c>
      <c r="J29" s="4">
        <v>783</v>
      </c>
      <c r="K29" s="4">
        <v>873</v>
      </c>
      <c r="L29" s="4">
        <v>622</v>
      </c>
      <c r="M29" s="4">
        <v>530</v>
      </c>
      <c r="N29" s="4">
        <v>416</v>
      </c>
      <c r="O29" s="4">
        <v>444</v>
      </c>
      <c r="P29" s="9">
        <v>430</v>
      </c>
    </row>
    <row r="30" spans="1:16" x14ac:dyDescent="0.25">
      <c r="A30">
        <v>196033</v>
      </c>
      <c r="B30" s="3" t="s">
        <v>20</v>
      </c>
      <c r="C30" s="8">
        <v>797</v>
      </c>
      <c r="D30" s="4">
        <v>760</v>
      </c>
      <c r="E30" s="4">
        <v>754</v>
      </c>
      <c r="F30" s="4">
        <v>775</v>
      </c>
      <c r="G30" s="4">
        <v>782</v>
      </c>
      <c r="H30" s="4">
        <v>742</v>
      </c>
      <c r="I30" s="4">
        <v>656</v>
      </c>
      <c r="J30" s="4">
        <v>705</v>
      </c>
      <c r="K30" s="4">
        <v>678</v>
      </c>
      <c r="L30" s="4">
        <v>614</v>
      </c>
      <c r="M30" s="4">
        <v>510</v>
      </c>
      <c r="N30" s="4">
        <v>460</v>
      </c>
      <c r="O30" s="4">
        <v>488</v>
      </c>
      <c r="P30" s="9">
        <v>540</v>
      </c>
    </row>
    <row r="31" spans="1:16" x14ac:dyDescent="0.25">
      <c r="A31">
        <v>196103</v>
      </c>
      <c r="B31" s="3" t="s">
        <v>21</v>
      </c>
      <c r="C31" s="8">
        <v>259</v>
      </c>
      <c r="D31" s="4">
        <v>288</v>
      </c>
      <c r="E31" s="4">
        <v>324</v>
      </c>
      <c r="F31" s="4">
        <v>288</v>
      </c>
      <c r="G31" s="4">
        <v>331</v>
      </c>
      <c r="H31" s="4">
        <v>318</v>
      </c>
      <c r="I31" s="4">
        <v>326</v>
      </c>
      <c r="J31" s="4">
        <v>327</v>
      </c>
      <c r="K31" s="4">
        <v>383</v>
      </c>
      <c r="L31" s="4">
        <v>353</v>
      </c>
      <c r="M31" s="4">
        <v>287</v>
      </c>
      <c r="N31" s="4">
        <v>304</v>
      </c>
      <c r="O31" s="4">
        <v>356</v>
      </c>
      <c r="P31" s="9">
        <v>398</v>
      </c>
    </row>
    <row r="32" spans="1:16" x14ac:dyDescent="0.25">
      <c r="A32">
        <v>196015</v>
      </c>
      <c r="B32" s="3" t="s">
        <v>22</v>
      </c>
      <c r="C32" s="8">
        <v>938</v>
      </c>
      <c r="D32" s="4">
        <v>953</v>
      </c>
      <c r="E32" s="4">
        <v>1003</v>
      </c>
      <c r="F32" s="4">
        <v>780</v>
      </c>
      <c r="G32" s="4">
        <v>733</v>
      </c>
      <c r="H32" s="4">
        <v>649</v>
      </c>
      <c r="I32" s="4">
        <v>699</v>
      </c>
      <c r="J32" s="4">
        <v>692</v>
      </c>
      <c r="K32" s="4">
        <v>727</v>
      </c>
      <c r="L32" s="4">
        <v>707</v>
      </c>
      <c r="M32" s="4">
        <v>538</v>
      </c>
      <c r="N32" s="4">
        <v>450</v>
      </c>
      <c r="O32" s="4">
        <v>477</v>
      </c>
      <c r="P32" s="9">
        <v>474</v>
      </c>
    </row>
    <row r="33" spans="1:16" x14ac:dyDescent="0.25">
      <c r="A33">
        <v>196024</v>
      </c>
      <c r="B33" s="3" t="s">
        <v>23</v>
      </c>
      <c r="C33" s="8">
        <v>961</v>
      </c>
      <c r="D33" s="4">
        <v>885</v>
      </c>
      <c r="E33" s="4">
        <v>922</v>
      </c>
      <c r="F33" s="4">
        <v>921</v>
      </c>
      <c r="G33" s="4">
        <v>952</v>
      </c>
      <c r="H33" s="4">
        <v>818</v>
      </c>
      <c r="I33" s="4">
        <v>876</v>
      </c>
      <c r="J33" s="4">
        <v>962</v>
      </c>
      <c r="K33" s="4">
        <v>788</v>
      </c>
      <c r="L33" s="4">
        <v>783</v>
      </c>
      <c r="M33" s="4">
        <v>584</v>
      </c>
      <c r="N33" s="4">
        <v>543</v>
      </c>
      <c r="O33" s="4">
        <v>682</v>
      </c>
      <c r="P33" s="9">
        <v>818</v>
      </c>
    </row>
    <row r="34" spans="1:16" x14ac:dyDescent="0.25">
      <c r="A34">
        <v>196291</v>
      </c>
      <c r="B34" s="3" t="s">
        <v>24</v>
      </c>
      <c r="C34" s="8">
        <v>355</v>
      </c>
      <c r="D34" s="4">
        <v>367</v>
      </c>
      <c r="E34" s="4">
        <v>329</v>
      </c>
      <c r="F34" s="4">
        <v>330</v>
      </c>
      <c r="G34" s="4">
        <v>349</v>
      </c>
      <c r="H34" s="4">
        <v>334</v>
      </c>
      <c r="I34" s="4">
        <v>309</v>
      </c>
      <c r="J34" s="4">
        <v>342</v>
      </c>
      <c r="K34" s="4">
        <v>351</v>
      </c>
      <c r="L34" s="4">
        <v>345</v>
      </c>
      <c r="M34" s="4">
        <v>343</v>
      </c>
      <c r="N34" s="4">
        <v>275</v>
      </c>
      <c r="O34" s="4">
        <v>284</v>
      </c>
      <c r="P34" s="9">
        <v>277</v>
      </c>
    </row>
    <row r="35" spans="1:16" x14ac:dyDescent="0.25">
      <c r="A35">
        <v>196237</v>
      </c>
      <c r="B35" s="3" t="s">
        <v>25</v>
      </c>
      <c r="C35" s="8">
        <v>401</v>
      </c>
      <c r="D35" s="4">
        <v>400</v>
      </c>
      <c r="E35" s="4">
        <v>396</v>
      </c>
      <c r="F35" s="4">
        <v>415</v>
      </c>
      <c r="G35" s="4">
        <v>458</v>
      </c>
      <c r="H35" s="4">
        <v>378</v>
      </c>
      <c r="I35" s="4">
        <v>506</v>
      </c>
      <c r="J35" s="4">
        <v>661</v>
      </c>
      <c r="K35" s="4">
        <v>739</v>
      </c>
      <c r="L35" s="4">
        <v>609</v>
      </c>
      <c r="M35" s="4">
        <v>536</v>
      </c>
      <c r="N35" s="4">
        <v>474</v>
      </c>
      <c r="O35" s="4">
        <v>611</v>
      </c>
      <c r="P35" s="9">
        <v>720</v>
      </c>
    </row>
    <row r="36" spans="1:16" x14ac:dyDescent="0.25">
      <c r="A36">
        <v>196185</v>
      </c>
      <c r="B36" s="3" t="s">
        <v>26</v>
      </c>
      <c r="C36" s="8">
        <v>1132</v>
      </c>
      <c r="D36" s="4">
        <v>1172</v>
      </c>
      <c r="E36" s="4">
        <v>1144</v>
      </c>
      <c r="F36" s="4">
        <v>1119</v>
      </c>
      <c r="G36" s="4">
        <v>1107</v>
      </c>
      <c r="H36" s="4">
        <v>1130</v>
      </c>
      <c r="I36" s="4">
        <v>1122</v>
      </c>
      <c r="J36" s="4">
        <v>1381</v>
      </c>
      <c r="K36" s="4">
        <v>1324</v>
      </c>
      <c r="L36" s="4">
        <v>1451</v>
      </c>
      <c r="M36" s="4">
        <v>1475</v>
      </c>
      <c r="N36" s="4">
        <v>937</v>
      </c>
      <c r="O36" s="4">
        <v>1106</v>
      </c>
      <c r="P36" s="9">
        <v>1319</v>
      </c>
    </row>
    <row r="37" spans="1:16" x14ac:dyDescent="0.25">
      <c r="A37">
        <v>196112</v>
      </c>
      <c r="B37" s="3" t="s">
        <v>27</v>
      </c>
      <c r="C37" s="8">
        <v>205</v>
      </c>
      <c r="D37" s="4">
        <v>198</v>
      </c>
      <c r="E37" s="4">
        <v>198</v>
      </c>
      <c r="F37" s="4">
        <v>275</v>
      </c>
      <c r="G37" s="4">
        <v>347</v>
      </c>
      <c r="H37" s="4">
        <v>347</v>
      </c>
      <c r="I37" s="4">
        <v>314</v>
      </c>
      <c r="J37" s="4">
        <v>463</v>
      </c>
      <c r="K37" s="4">
        <v>424</v>
      </c>
      <c r="L37" s="4">
        <v>404</v>
      </c>
      <c r="M37" s="4">
        <v>350</v>
      </c>
      <c r="N37" s="4">
        <v>307</v>
      </c>
      <c r="O37" s="4">
        <v>381</v>
      </c>
      <c r="P37" s="9">
        <v>389</v>
      </c>
    </row>
    <row r="38" spans="1:16" x14ac:dyDescent="0.25">
      <c r="A38">
        <v>196060</v>
      </c>
      <c r="B38" s="3" t="s">
        <v>28</v>
      </c>
      <c r="C38" s="8">
        <v>2242</v>
      </c>
      <c r="D38" s="4">
        <v>2422</v>
      </c>
      <c r="E38" s="4">
        <v>2568</v>
      </c>
      <c r="F38" s="4">
        <v>2566</v>
      </c>
      <c r="G38" s="4">
        <v>2548</v>
      </c>
      <c r="H38" s="4">
        <v>2590</v>
      </c>
      <c r="I38" s="4">
        <v>2725</v>
      </c>
      <c r="J38" s="4">
        <v>2815</v>
      </c>
      <c r="K38" s="4">
        <v>2768</v>
      </c>
      <c r="L38" s="4">
        <v>2669</v>
      </c>
      <c r="M38" s="4">
        <v>2695</v>
      </c>
      <c r="N38" s="4">
        <v>3030</v>
      </c>
      <c r="O38" s="4">
        <v>2651</v>
      </c>
      <c r="P38" s="9">
        <v>2836</v>
      </c>
    </row>
    <row r="39" spans="1:16" x14ac:dyDescent="0.25">
      <c r="A39">
        <v>196088</v>
      </c>
      <c r="B39" s="3" t="s">
        <v>1</v>
      </c>
      <c r="C39" s="8">
        <v>3393</v>
      </c>
      <c r="D39" s="4">
        <v>3255</v>
      </c>
      <c r="E39" s="4">
        <v>3647</v>
      </c>
      <c r="F39" s="4">
        <v>3653</v>
      </c>
      <c r="G39" s="4">
        <v>3517</v>
      </c>
      <c r="H39" s="4">
        <v>3621</v>
      </c>
      <c r="I39" s="4">
        <v>4103</v>
      </c>
      <c r="J39" s="4">
        <v>4179</v>
      </c>
      <c r="K39" s="4">
        <v>4263</v>
      </c>
      <c r="L39" s="4">
        <v>4289</v>
      </c>
      <c r="M39" s="4">
        <v>4415</v>
      </c>
      <c r="N39" s="4">
        <v>4309</v>
      </c>
      <c r="O39" s="4">
        <v>4215</v>
      </c>
      <c r="P39" s="9">
        <v>4271</v>
      </c>
    </row>
    <row r="40" spans="1:16" x14ac:dyDescent="0.25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6" x14ac:dyDescent="0.25">
      <c r="A41" s="15" t="s">
        <v>7</v>
      </c>
      <c r="B41" s="15"/>
      <c r="C41" s="1">
        <v>2010</v>
      </c>
      <c r="D41" s="1">
        <v>2011</v>
      </c>
      <c r="E41" s="1">
        <v>2012</v>
      </c>
      <c r="F41" s="1">
        <v>2013</v>
      </c>
      <c r="G41" s="1">
        <v>2014</v>
      </c>
      <c r="H41" s="1">
        <v>2015</v>
      </c>
      <c r="I41" s="1">
        <v>2016</v>
      </c>
      <c r="J41" s="1">
        <v>2017</v>
      </c>
      <c r="K41" s="1">
        <v>2018</v>
      </c>
      <c r="L41" s="1">
        <v>2019</v>
      </c>
      <c r="M41" s="1">
        <v>2020</v>
      </c>
      <c r="N41" s="1">
        <v>2021</v>
      </c>
      <c r="O41" s="1">
        <v>2022</v>
      </c>
      <c r="P41" s="1">
        <v>2023</v>
      </c>
    </row>
    <row r="42" spans="1:16" x14ac:dyDescent="0.25">
      <c r="B42" s="3" t="s">
        <v>8</v>
      </c>
      <c r="C42" s="10"/>
      <c r="D42" s="5">
        <f>(D16-C16)/C16</f>
        <v>8.4015510555794912E-2</v>
      </c>
      <c r="E42" s="5">
        <f t="shared" ref="E42:P42" si="5">(E16-D16)/D16</f>
        <v>5.8823529411764705E-2</v>
      </c>
      <c r="F42" s="5">
        <f t="shared" si="5"/>
        <v>-1.1636636636636636E-2</v>
      </c>
      <c r="G42" s="5">
        <f t="shared" si="5"/>
        <v>-1.1773642233194076E-2</v>
      </c>
      <c r="H42" s="5">
        <f t="shared" si="5"/>
        <v>2.2674865488086088E-2</v>
      </c>
      <c r="I42" s="5">
        <f t="shared" si="5"/>
        <v>1.7662532882375046E-2</v>
      </c>
      <c r="J42" s="5">
        <f t="shared" si="5"/>
        <v>1.03397341211226E-2</v>
      </c>
      <c r="K42" s="5">
        <f t="shared" si="5"/>
        <v>7.7850877192982462E-2</v>
      </c>
      <c r="L42" s="5">
        <f t="shared" si="5"/>
        <v>-1.2546625974906748E-2</v>
      </c>
      <c r="M42" s="5">
        <f t="shared" si="5"/>
        <v>-5.4945054945054949E-3</v>
      </c>
      <c r="N42" s="5">
        <f t="shared" si="5"/>
        <v>6.6643646408839782E-2</v>
      </c>
      <c r="O42" s="5">
        <f t="shared" si="5"/>
        <v>5.8271285205568147E-3</v>
      </c>
      <c r="P42" s="11">
        <f t="shared" si="5"/>
        <v>-3.8622465400708077E-3</v>
      </c>
    </row>
    <row r="43" spans="1:16" x14ac:dyDescent="0.25">
      <c r="B43" s="3" t="s">
        <v>9</v>
      </c>
      <c r="C43" s="10"/>
      <c r="D43" s="5">
        <f t="shared" ref="D43:P43" si="6">(D17-C17)/C17</f>
        <v>0.58091286307053946</v>
      </c>
      <c r="E43" s="5">
        <f t="shared" si="6"/>
        <v>0.13648293963254593</v>
      </c>
      <c r="F43" s="5">
        <f t="shared" si="6"/>
        <v>-0.13856812933025403</v>
      </c>
      <c r="G43" s="5">
        <f t="shared" si="6"/>
        <v>-6.4343163538873996E-2</v>
      </c>
      <c r="H43" s="5">
        <f t="shared" si="6"/>
        <v>3.151862464183381E-2</v>
      </c>
      <c r="I43" s="5">
        <f t="shared" si="6"/>
        <v>-2.5000000000000001E-2</v>
      </c>
      <c r="J43" s="5">
        <f t="shared" si="6"/>
        <v>0.25925925925925924</v>
      </c>
      <c r="K43" s="5">
        <f t="shared" si="6"/>
        <v>-0.47511312217194568</v>
      </c>
      <c r="L43" s="5">
        <f t="shared" si="6"/>
        <v>-0.22844827586206898</v>
      </c>
      <c r="M43" s="5">
        <f t="shared" si="6"/>
        <v>-0.1787709497206704</v>
      </c>
      <c r="N43" s="5">
        <f t="shared" si="6"/>
        <v>2.7210884353741496E-2</v>
      </c>
      <c r="O43" s="5">
        <f t="shared" si="6"/>
        <v>0.25827814569536423</v>
      </c>
      <c r="P43" s="11">
        <f t="shared" si="6"/>
        <v>-0.11052631578947368</v>
      </c>
    </row>
    <row r="44" spans="1:16" x14ac:dyDescent="0.25">
      <c r="B44" s="3" t="s">
        <v>10</v>
      </c>
      <c r="C44" s="10"/>
      <c r="D44" s="5">
        <f t="shared" ref="D44:P44" si="7">(D18-C18)/C18</f>
        <v>5.387205387205387E-2</v>
      </c>
      <c r="E44" s="5">
        <f t="shared" si="7"/>
        <v>0.26730564430244941</v>
      </c>
      <c r="F44" s="5">
        <f t="shared" si="7"/>
        <v>-5.9663865546218491E-2</v>
      </c>
      <c r="G44" s="5">
        <f t="shared" si="7"/>
        <v>-4.5576407506702415E-2</v>
      </c>
      <c r="H44" s="5">
        <f t="shared" si="7"/>
        <v>-4.4007490636704123E-2</v>
      </c>
      <c r="I44" s="5">
        <f t="shared" si="7"/>
        <v>0.25465230166503428</v>
      </c>
      <c r="J44" s="5">
        <f t="shared" si="7"/>
        <v>7.8064012490241998E-3</v>
      </c>
      <c r="K44" s="5">
        <f t="shared" si="7"/>
        <v>4.1828040278853604E-2</v>
      </c>
      <c r="L44" s="5">
        <f t="shared" si="7"/>
        <v>0.10185873605947955</v>
      </c>
      <c r="M44" s="5">
        <f t="shared" si="7"/>
        <v>5.8029689608636977E-2</v>
      </c>
      <c r="N44" s="5">
        <f t="shared" si="7"/>
        <v>3.2525510204081634E-2</v>
      </c>
      <c r="O44" s="5">
        <f t="shared" si="7"/>
        <v>-2.6559604694255712E-2</v>
      </c>
      <c r="P44" s="11">
        <f t="shared" si="7"/>
        <v>6.3451776649746189E-2</v>
      </c>
    </row>
    <row r="45" spans="1:16" x14ac:dyDescent="0.25">
      <c r="B45" s="3" t="s">
        <v>11</v>
      </c>
      <c r="C45" s="10"/>
      <c r="D45" s="5">
        <f t="shared" ref="D45:P45" si="8">(D19-C19)/C19</f>
        <v>-1.3136288998357963E-2</v>
      </c>
      <c r="E45" s="5">
        <f t="shared" si="8"/>
        <v>6.6555740432612314E-3</v>
      </c>
      <c r="F45" s="5">
        <f t="shared" si="8"/>
        <v>-3.3057851239669421E-3</v>
      </c>
      <c r="G45" s="5">
        <f t="shared" si="8"/>
        <v>-8.291873963515755E-3</v>
      </c>
      <c r="H45" s="5">
        <f t="shared" si="8"/>
        <v>1.5050167224080268E-2</v>
      </c>
      <c r="I45" s="5">
        <f t="shared" si="8"/>
        <v>1.9769357495881382E-2</v>
      </c>
      <c r="J45" s="5">
        <f t="shared" si="8"/>
        <v>4.0387722132471729E-2</v>
      </c>
      <c r="K45" s="5">
        <f t="shared" si="8"/>
        <v>-5.2795031055900624E-2</v>
      </c>
      <c r="L45" s="5">
        <f t="shared" si="8"/>
        <v>-9.8360655737704927E-3</v>
      </c>
      <c r="M45" s="5">
        <f t="shared" si="8"/>
        <v>6.4569536423841056E-2</v>
      </c>
      <c r="N45" s="5">
        <f t="shared" si="8"/>
        <v>-5.0544323483670293E-2</v>
      </c>
      <c r="O45" s="5">
        <f t="shared" si="8"/>
        <v>9.8280098280098274E-2</v>
      </c>
      <c r="P45" s="11">
        <f t="shared" si="8"/>
        <v>-9.3214019388516034E-2</v>
      </c>
    </row>
    <row r="46" spans="1:16" x14ac:dyDescent="0.25">
      <c r="B46" s="3" t="s">
        <v>12</v>
      </c>
      <c r="C46" s="10"/>
      <c r="D46" s="5">
        <f t="shared" ref="D46:P46" si="9">(D20-C20)/C20</f>
        <v>5.6363636363636366E-2</v>
      </c>
      <c r="E46" s="5">
        <f t="shared" si="9"/>
        <v>-3.7005163511187607E-2</v>
      </c>
      <c r="F46" s="5">
        <f t="shared" si="9"/>
        <v>-1.3404825737265416E-2</v>
      </c>
      <c r="G46" s="5">
        <f t="shared" si="9"/>
        <v>-2.2644927536231884E-2</v>
      </c>
      <c r="H46" s="5">
        <f t="shared" si="9"/>
        <v>0</v>
      </c>
      <c r="I46" s="5">
        <f t="shared" si="9"/>
        <v>1.2048192771084338E-2</v>
      </c>
      <c r="J46" s="5">
        <f t="shared" si="9"/>
        <v>1.1904761904761904E-2</v>
      </c>
      <c r="K46" s="5">
        <f t="shared" si="9"/>
        <v>3.9819004524886875E-2</v>
      </c>
      <c r="L46" s="5">
        <f t="shared" si="9"/>
        <v>-2.0887728459530026E-2</v>
      </c>
      <c r="M46" s="5">
        <f t="shared" si="9"/>
        <v>-0.1351111111111111</v>
      </c>
      <c r="N46" s="5">
        <f t="shared" si="9"/>
        <v>0.16443987667009249</v>
      </c>
      <c r="O46" s="5">
        <f t="shared" si="9"/>
        <v>2.6478375992939101E-2</v>
      </c>
      <c r="P46" s="11">
        <f t="shared" si="9"/>
        <v>-3.7833190025795355E-2</v>
      </c>
    </row>
    <row r="47" spans="1:16" x14ac:dyDescent="0.25">
      <c r="B47" s="3" t="s">
        <v>13</v>
      </c>
      <c r="C47" s="10"/>
      <c r="D47" s="5">
        <f t="shared" ref="D47:P47" si="10">(D21-C21)/C21</f>
        <v>-3.9511494252873564E-2</v>
      </c>
      <c r="E47" s="5">
        <f t="shared" si="10"/>
        <v>-4.93642483171279E-2</v>
      </c>
      <c r="F47" s="5">
        <f t="shared" si="10"/>
        <v>0.1848937844217152</v>
      </c>
      <c r="G47" s="5">
        <f t="shared" si="10"/>
        <v>-5.9096945551128821E-2</v>
      </c>
      <c r="H47" s="5">
        <f t="shared" si="10"/>
        <v>4.8694424841213835E-2</v>
      </c>
      <c r="I47" s="5">
        <f t="shared" si="10"/>
        <v>-3.028263795423957E-2</v>
      </c>
      <c r="J47" s="5">
        <f t="shared" si="10"/>
        <v>1.5267175572519083E-2</v>
      </c>
      <c r="K47" s="5">
        <f t="shared" si="10"/>
        <v>1.2987012987012988E-2</v>
      </c>
      <c r="L47" s="5">
        <f t="shared" si="10"/>
        <v>-4.048582995951417E-2</v>
      </c>
      <c r="M47" s="5">
        <f t="shared" si="10"/>
        <v>-0.10689170182841069</v>
      </c>
      <c r="N47" s="5">
        <f t="shared" si="10"/>
        <v>-8.0314960629921259E-2</v>
      </c>
      <c r="O47" s="5">
        <f t="shared" si="10"/>
        <v>0.25684931506849318</v>
      </c>
      <c r="P47" s="11">
        <f t="shared" si="10"/>
        <v>-0.18869209809264306</v>
      </c>
    </row>
    <row r="48" spans="1:16" x14ac:dyDescent="0.25">
      <c r="B48" s="3" t="s">
        <v>14</v>
      </c>
      <c r="C48" s="10"/>
      <c r="D48" s="5">
        <f t="shared" ref="D48:P48" si="11">(D22-C22)/C22</f>
        <v>-3.6108324974924777E-2</v>
      </c>
      <c r="E48" s="5">
        <f t="shared" si="11"/>
        <v>9.3652445369406864E-3</v>
      </c>
      <c r="F48" s="5">
        <f t="shared" si="11"/>
        <v>-1.6494845360824743E-2</v>
      </c>
      <c r="G48" s="5">
        <f t="shared" si="11"/>
        <v>8.5953878406708595E-2</v>
      </c>
      <c r="H48" s="5">
        <f t="shared" si="11"/>
        <v>-7.0463320463320461E-2</v>
      </c>
      <c r="I48" s="5">
        <f t="shared" si="11"/>
        <v>6.0228452751817235E-2</v>
      </c>
      <c r="J48" s="5">
        <f t="shared" si="11"/>
        <v>8.7169441723800201E-2</v>
      </c>
      <c r="K48" s="5">
        <f t="shared" si="11"/>
        <v>3.063063063063063E-2</v>
      </c>
      <c r="L48" s="5">
        <f t="shared" si="11"/>
        <v>-0.15996503496503497</v>
      </c>
      <c r="M48" s="5">
        <f t="shared" si="11"/>
        <v>-7.0759625390218517E-2</v>
      </c>
      <c r="N48" s="5">
        <f t="shared" si="11"/>
        <v>3.0235162374020158E-2</v>
      </c>
      <c r="O48" s="5">
        <f t="shared" si="11"/>
        <v>-8.1521739130434784E-2</v>
      </c>
      <c r="P48" s="11">
        <f t="shared" si="11"/>
        <v>-6.6272189349112429E-2</v>
      </c>
    </row>
    <row r="49" spans="2:16" x14ac:dyDescent="0.25">
      <c r="B49" s="3" t="s">
        <v>15</v>
      </c>
      <c r="C49" s="10"/>
      <c r="D49" s="5">
        <f t="shared" ref="D49:P49" si="12">(D23-C23)/C23</f>
        <v>-8.062750820868296E-2</v>
      </c>
      <c r="E49" s="5">
        <f t="shared" si="12"/>
        <v>6.1904761904761907E-2</v>
      </c>
      <c r="F49" s="5">
        <f t="shared" si="12"/>
        <v>1.2331838565022421E-2</v>
      </c>
      <c r="G49" s="5">
        <f t="shared" si="12"/>
        <v>5.3894425987449243E-2</v>
      </c>
      <c r="H49" s="5">
        <f t="shared" si="12"/>
        <v>-6.6549912434325743E-3</v>
      </c>
      <c r="I49" s="5">
        <f t="shared" si="12"/>
        <v>3.4555712270803951E-2</v>
      </c>
      <c r="J49" s="5">
        <f t="shared" si="12"/>
        <v>7.9413769597818679E-2</v>
      </c>
      <c r="K49" s="5">
        <f t="shared" si="12"/>
        <v>6.8203347016103574E-2</v>
      </c>
      <c r="L49" s="5">
        <f t="shared" si="12"/>
        <v>-3.2515518770322199E-3</v>
      </c>
      <c r="M49" s="5">
        <f t="shared" si="12"/>
        <v>-1.4827995255041519E-2</v>
      </c>
      <c r="N49" s="5">
        <f t="shared" si="12"/>
        <v>2.8296207104154123E-2</v>
      </c>
      <c r="O49" s="5">
        <f t="shared" si="12"/>
        <v>-2.0199063231850119E-2</v>
      </c>
      <c r="P49" s="11">
        <f t="shared" si="12"/>
        <v>6.6328054974604117E-2</v>
      </c>
    </row>
    <row r="50" spans="2:16" x14ac:dyDescent="0.25">
      <c r="B50" s="3" t="s">
        <v>16</v>
      </c>
      <c r="C50" s="10"/>
      <c r="D50" s="5">
        <f t="shared" ref="D50:P50" si="13">(D24-C24)/C24</f>
        <v>4.077849860982391E-2</v>
      </c>
      <c r="E50" s="5">
        <f t="shared" si="13"/>
        <v>-0.10596616206589493</v>
      </c>
      <c r="F50" s="5">
        <f t="shared" si="13"/>
        <v>9.4621513944223107E-2</v>
      </c>
      <c r="G50" s="5">
        <f t="shared" si="13"/>
        <v>-2.5477707006369428E-2</v>
      </c>
      <c r="H50" s="5">
        <f t="shared" si="13"/>
        <v>-0.13912231559290383</v>
      </c>
      <c r="I50" s="5">
        <f t="shared" si="13"/>
        <v>9.7613882863340565E-3</v>
      </c>
      <c r="J50" s="5">
        <f t="shared" si="13"/>
        <v>0.21160042964554243</v>
      </c>
      <c r="K50" s="5">
        <f t="shared" si="13"/>
        <v>4.3439716312056738E-2</v>
      </c>
      <c r="L50" s="5">
        <f t="shared" si="13"/>
        <v>-0.15123194562446898</v>
      </c>
      <c r="M50" s="5">
        <f t="shared" si="13"/>
        <v>-0.24124124124124124</v>
      </c>
      <c r="N50" s="5">
        <f t="shared" si="13"/>
        <v>6.3324538258575203E-2</v>
      </c>
      <c r="O50" s="5">
        <f t="shared" si="13"/>
        <v>-0.11166253101736973</v>
      </c>
      <c r="P50" s="11">
        <f t="shared" si="13"/>
        <v>-0.1005586592178771</v>
      </c>
    </row>
    <row r="51" spans="2:16" x14ac:dyDescent="0.25">
      <c r="B51" s="3" t="s">
        <v>17</v>
      </c>
      <c r="C51" s="10"/>
      <c r="D51" s="5">
        <f t="shared" ref="D51:P51" si="14">(D25-C25)/C25</f>
        <v>0.18601190476190477</v>
      </c>
      <c r="E51" s="5">
        <f t="shared" si="14"/>
        <v>-0.12923462986198245</v>
      </c>
      <c r="F51" s="5">
        <f t="shared" si="14"/>
        <v>0.11671469740634005</v>
      </c>
      <c r="G51" s="5">
        <f t="shared" si="14"/>
        <v>-3.2258064516129031E-2</v>
      </c>
      <c r="H51" s="5">
        <f t="shared" si="14"/>
        <v>4.1333333333333333E-2</v>
      </c>
      <c r="I51" s="5">
        <f t="shared" si="14"/>
        <v>-7.4263764404609481E-2</v>
      </c>
      <c r="J51" s="5">
        <f t="shared" si="14"/>
        <v>5.1175656984785614E-2</v>
      </c>
      <c r="K51" s="5">
        <f t="shared" si="14"/>
        <v>0.1736842105263158</v>
      </c>
      <c r="L51" s="5">
        <f t="shared" si="14"/>
        <v>-0.10538116591928251</v>
      </c>
      <c r="M51" s="5">
        <f t="shared" si="14"/>
        <v>-0.18922305764411027</v>
      </c>
      <c r="N51" s="5">
        <f t="shared" si="14"/>
        <v>5.1004636785162288E-2</v>
      </c>
      <c r="O51" s="5">
        <f t="shared" si="14"/>
        <v>1.0294117647058823E-2</v>
      </c>
      <c r="P51" s="11">
        <f t="shared" si="14"/>
        <v>0.13100436681222707</v>
      </c>
    </row>
    <row r="52" spans="2:16" x14ac:dyDescent="0.25">
      <c r="B52" s="3" t="s">
        <v>2</v>
      </c>
      <c r="C52" s="10"/>
      <c r="D52" s="5">
        <f t="shared" ref="D52:P52" si="15">(D26-C26)/C26</f>
        <v>1.9083969465648854E-3</v>
      </c>
      <c r="E52" s="5">
        <f t="shared" si="15"/>
        <v>3.3333333333333333E-2</v>
      </c>
      <c r="F52" s="5">
        <f t="shared" si="15"/>
        <v>-4.608294930875576E-3</v>
      </c>
      <c r="G52" s="5">
        <f t="shared" si="15"/>
        <v>9.2592592592592587E-3</v>
      </c>
      <c r="H52" s="5">
        <f t="shared" si="15"/>
        <v>5.1376146788990829E-2</v>
      </c>
      <c r="I52" s="5">
        <f t="shared" si="15"/>
        <v>5.1483420593368238E-2</v>
      </c>
      <c r="J52" s="5">
        <f t="shared" si="15"/>
        <v>4.6473029045643155E-2</v>
      </c>
      <c r="K52" s="5">
        <f t="shared" si="15"/>
        <v>7.1371927042030133E-3</v>
      </c>
      <c r="L52" s="5">
        <f t="shared" si="15"/>
        <v>-0.15196850393700786</v>
      </c>
      <c r="M52" s="5">
        <f t="shared" si="15"/>
        <v>-9.2850510677808728E-4</v>
      </c>
      <c r="N52" s="5">
        <f t="shared" si="15"/>
        <v>-6.8773234200743494E-2</v>
      </c>
      <c r="O52" s="5">
        <f t="shared" si="15"/>
        <v>1.2974051896207584E-2</v>
      </c>
      <c r="P52" s="11">
        <f t="shared" si="15"/>
        <v>0.25320197044334974</v>
      </c>
    </row>
    <row r="53" spans="2:16" x14ac:dyDescent="0.25">
      <c r="B53" s="3" t="s">
        <v>18</v>
      </c>
      <c r="C53" s="10"/>
      <c r="D53" s="5">
        <f t="shared" ref="D53:P53" si="16">(D27-C27)/C27</f>
        <v>-4.2944785276073622E-2</v>
      </c>
      <c r="E53" s="5">
        <f t="shared" si="16"/>
        <v>-4.6296296296296294E-2</v>
      </c>
      <c r="F53" s="5">
        <f t="shared" si="16"/>
        <v>-1.1202389843166542E-2</v>
      </c>
      <c r="G53" s="5">
        <f t="shared" si="16"/>
        <v>0.41163141993957703</v>
      </c>
      <c r="H53" s="5">
        <f t="shared" si="16"/>
        <v>-5.3504547886570357E-3</v>
      </c>
      <c r="I53" s="5">
        <f t="shared" si="16"/>
        <v>-0.1242603550295858</v>
      </c>
      <c r="J53" s="5">
        <f t="shared" si="16"/>
        <v>0.10933660933660934</v>
      </c>
      <c r="K53" s="5">
        <f t="shared" si="16"/>
        <v>-3.2668881506090805E-2</v>
      </c>
      <c r="L53" s="5">
        <f t="shared" si="16"/>
        <v>-5.1516886090440757E-2</v>
      </c>
      <c r="M53" s="5">
        <f t="shared" si="16"/>
        <v>-1.7501508750754374E-2</v>
      </c>
      <c r="N53" s="5">
        <f t="shared" si="16"/>
        <v>-0.17444717444717445</v>
      </c>
      <c r="O53" s="5">
        <f t="shared" si="16"/>
        <v>-6.8452380952380959E-2</v>
      </c>
      <c r="P53" s="11">
        <f t="shared" si="16"/>
        <v>0.16293929712460065</v>
      </c>
    </row>
    <row r="54" spans="2:16" x14ac:dyDescent="0.25">
      <c r="B54" s="3" t="s">
        <v>0</v>
      </c>
      <c r="C54" s="10"/>
      <c r="D54" s="5">
        <f t="shared" ref="D54:P54" si="17">(D28-C28)/C28</f>
        <v>0.20813397129186603</v>
      </c>
      <c r="E54" s="5">
        <f t="shared" si="17"/>
        <v>-1.2871287128712871E-2</v>
      </c>
      <c r="F54" s="5">
        <f t="shared" si="17"/>
        <v>0.13540621865596791</v>
      </c>
      <c r="G54" s="5">
        <f t="shared" si="17"/>
        <v>9.187279151943463E-2</v>
      </c>
      <c r="H54" s="5">
        <f t="shared" si="17"/>
        <v>7.605177993527508E-2</v>
      </c>
      <c r="I54" s="5">
        <f t="shared" si="17"/>
        <v>-6.9172932330827067E-2</v>
      </c>
      <c r="J54" s="5">
        <f t="shared" si="17"/>
        <v>8.2390953150242321E-2</v>
      </c>
      <c r="K54" s="5">
        <f t="shared" si="17"/>
        <v>2.2388059701492539E-3</v>
      </c>
      <c r="L54" s="5">
        <f t="shared" si="17"/>
        <v>-8.1906180193596426E-2</v>
      </c>
      <c r="M54" s="5">
        <f t="shared" si="17"/>
        <v>-0.27737226277372262</v>
      </c>
      <c r="N54" s="5">
        <f t="shared" si="17"/>
        <v>0.13019079685746351</v>
      </c>
      <c r="O54" s="5">
        <f t="shared" si="17"/>
        <v>-0.13406156901688182</v>
      </c>
      <c r="P54" s="11">
        <f t="shared" si="17"/>
        <v>0.12614678899082568</v>
      </c>
    </row>
    <row r="55" spans="2:16" x14ac:dyDescent="0.25">
      <c r="B55" s="3" t="s">
        <v>19</v>
      </c>
      <c r="C55" s="10"/>
      <c r="D55" s="5">
        <f t="shared" ref="D55:P55" si="18">(D29-C29)/C29</f>
        <v>-8.8397790055248626E-3</v>
      </c>
      <c r="E55" s="5">
        <f t="shared" si="18"/>
        <v>-1.0033444816053512E-2</v>
      </c>
      <c r="F55" s="5">
        <f t="shared" si="18"/>
        <v>-7.5450450450450457E-2</v>
      </c>
      <c r="G55" s="5">
        <f t="shared" si="18"/>
        <v>1.0962241169305725E-2</v>
      </c>
      <c r="H55" s="5">
        <f t="shared" si="18"/>
        <v>2.891566265060241E-2</v>
      </c>
      <c r="I55" s="5">
        <f t="shared" si="18"/>
        <v>-7.7283372365339581E-2</v>
      </c>
      <c r="J55" s="5">
        <f t="shared" si="18"/>
        <v>-6.3451776649746192E-3</v>
      </c>
      <c r="K55" s="5">
        <f t="shared" si="18"/>
        <v>0.11494252873563218</v>
      </c>
      <c r="L55" s="5">
        <f t="shared" si="18"/>
        <v>-0.28751431844215347</v>
      </c>
      <c r="M55" s="5">
        <f t="shared" si="18"/>
        <v>-0.14790996784565916</v>
      </c>
      <c r="N55" s="5">
        <f t="shared" si="18"/>
        <v>-0.21509433962264152</v>
      </c>
      <c r="O55" s="5">
        <f t="shared" si="18"/>
        <v>6.7307692307692304E-2</v>
      </c>
      <c r="P55" s="11">
        <f t="shared" si="18"/>
        <v>-3.1531531531531529E-2</v>
      </c>
    </row>
    <row r="56" spans="2:16" x14ac:dyDescent="0.25">
      <c r="B56" s="3" t="s">
        <v>20</v>
      </c>
      <c r="C56" s="10"/>
      <c r="D56" s="5">
        <f t="shared" ref="D56:P56" si="19">(D30-C30)/C30</f>
        <v>-4.6424090338770388E-2</v>
      </c>
      <c r="E56" s="5">
        <f t="shared" si="19"/>
        <v>-7.8947368421052634E-3</v>
      </c>
      <c r="F56" s="5">
        <f t="shared" si="19"/>
        <v>2.7851458885941646E-2</v>
      </c>
      <c r="G56" s="5">
        <f t="shared" si="19"/>
        <v>9.0322580645161299E-3</v>
      </c>
      <c r="H56" s="5">
        <f t="shared" si="19"/>
        <v>-5.1150895140664961E-2</v>
      </c>
      <c r="I56" s="5">
        <f t="shared" si="19"/>
        <v>-0.11590296495956873</v>
      </c>
      <c r="J56" s="5">
        <f t="shared" si="19"/>
        <v>7.4695121951219509E-2</v>
      </c>
      <c r="K56" s="5">
        <f t="shared" si="19"/>
        <v>-3.8297872340425532E-2</v>
      </c>
      <c r="L56" s="5">
        <f t="shared" si="19"/>
        <v>-9.4395280235988199E-2</v>
      </c>
      <c r="M56" s="5">
        <f t="shared" si="19"/>
        <v>-0.16938110749185667</v>
      </c>
      <c r="N56" s="5">
        <f t="shared" si="19"/>
        <v>-9.8039215686274508E-2</v>
      </c>
      <c r="O56" s="5">
        <f t="shared" si="19"/>
        <v>6.0869565217391307E-2</v>
      </c>
      <c r="P56" s="11">
        <f t="shared" si="19"/>
        <v>0.10655737704918032</v>
      </c>
    </row>
    <row r="57" spans="2:16" x14ac:dyDescent="0.25">
      <c r="B57" s="3" t="s">
        <v>21</v>
      </c>
      <c r="C57" s="10"/>
      <c r="D57" s="5">
        <f t="shared" ref="D57:P57" si="20">(D31-C31)/C31</f>
        <v>0.11196911196911197</v>
      </c>
      <c r="E57" s="5">
        <f t="shared" si="20"/>
        <v>0.125</v>
      </c>
      <c r="F57" s="5">
        <f t="shared" si="20"/>
        <v>-0.1111111111111111</v>
      </c>
      <c r="G57" s="5">
        <f t="shared" si="20"/>
        <v>0.14930555555555555</v>
      </c>
      <c r="H57" s="5">
        <f t="shared" si="20"/>
        <v>-3.9274924471299093E-2</v>
      </c>
      <c r="I57" s="5">
        <f t="shared" si="20"/>
        <v>2.5157232704402517E-2</v>
      </c>
      <c r="J57" s="5">
        <f t="shared" si="20"/>
        <v>3.0674846625766872E-3</v>
      </c>
      <c r="K57" s="5">
        <f t="shared" si="20"/>
        <v>0.17125382262996941</v>
      </c>
      <c r="L57" s="5">
        <f t="shared" si="20"/>
        <v>-7.8328981723237601E-2</v>
      </c>
      <c r="M57" s="5">
        <f t="shared" si="20"/>
        <v>-0.18696883852691218</v>
      </c>
      <c r="N57" s="5">
        <f t="shared" si="20"/>
        <v>5.9233449477351915E-2</v>
      </c>
      <c r="O57" s="5">
        <f t="shared" si="20"/>
        <v>0.17105263157894737</v>
      </c>
      <c r="P57" s="11">
        <f t="shared" si="20"/>
        <v>0.11797752808988764</v>
      </c>
    </row>
    <row r="58" spans="2:16" x14ac:dyDescent="0.25">
      <c r="B58" s="3" t="s">
        <v>22</v>
      </c>
      <c r="C58" s="10"/>
      <c r="D58" s="5">
        <f t="shared" ref="D58:P58" si="21">(D32-C32)/C32</f>
        <v>1.5991471215351813E-2</v>
      </c>
      <c r="E58" s="5">
        <f t="shared" si="21"/>
        <v>5.2465897166841552E-2</v>
      </c>
      <c r="F58" s="5">
        <f t="shared" si="21"/>
        <v>-0.22233300099700898</v>
      </c>
      <c r="G58" s="5">
        <f t="shared" si="21"/>
        <v>-6.0256410256410257E-2</v>
      </c>
      <c r="H58" s="5">
        <f t="shared" si="21"/>
        <v>-0.11459754433833561</v>
      </c>
      <c r="I58" s="5">
        <f t="shared" si="21"/>
        <v>7.7041602465331274E-2</v>
      </c>
      <c r="J58" s="5">
        <f t="shared" si="21"/>
        <v>-1.0014306151645207E-2</v>
      </c>
      <c r="K58" s="5">
        <f t="shared" si="21"/>
        <v>5.0578034682080927E-2</v>
      </c>
      <c r="L58" s="5">
        <f t="shared" si="21"/>
        <v>-2.7510316368638238E-2</v>
      </c>
      <c r="M58" s="5">
        <f t="shared" si="21"/>
        <v>-0.23903818953323905</v>
      </c>
      <c r="N58" s="5">
        <f t="shared" si="21"/>
        <v>-0.16356877323420074</v>
      </c>
      <c r="O58" s="5">
        <f t="shared" si="21"/>
        <v>0.06</v>
      </c>
      <c r="P58" s="11">
        <f t="shared" si="21"/>
        <v>-6.2893081761006293E-3</v>
      </c>
    </row>
    <row r="59" spans="2:16" x14ac:dyDescent="0.25">
      <c r="B59" s="3" t="s">
        <v>23</v>
      </c>
      <c r="C59" s="10"/>
      <c r="D59" s="5">
        <f t="shared" ref="D59:P59" si="22">(D33-C33)/C33</f>
        <v>-7.9084287200832465E-2</v>
      </c>
      <c r="E59" s="5">
        <f t="shared" si="22"/>
        <v>4.1807909604519772E-2</v>
      </c>
      <c r="F59" s="5">
        <f t="shared" si="22"/>
        <v>-1.0845986984815619E-3</v>
      </c>
      <c r="G59" s="5">
        <f t="shared" si="22"/>
        <v>3.3659066232356136E-2</v>
      </c>
      <c r="H59" s="5">
        <f t="shared" si="22"/>
        <v>-0.1407563025210084</v>
      </c>
      <c r="I59" s="5">
        <f t="shared" si="22"/>
        <v>7.090464547677261E-2</v>
      </c>
      <c r="J59" s="5">
        <f t="shared" si="22"/>
        <v>9.8173515981735154E-2</v>
      </c>
      <c r="K59" s="5">
        <f t="shared" si="22"/>
        <v>-0.18087318087318088</v>
      </c>
      <c r="L59" s="5">
        <f t="shared" si="22"/>
        <v>-6.3451776649746192E-3</v>
      </c>
      <c r="M59" s="5">
        <f t="shared" si="22"/>
        <v>-0.25415070242656451</v>
      </c>
      <c r="N59" s="5">
        <f t="shared" si="22"/>
        <v>-7.0205479452054798E-2</v>
      </c>
      <c r="O59" s="5">
        <f t="shared" si="22"/>
        <v>0.2559852670349908</v>
      </c>
      <c r="P59" s="11">
        <f t="shared" si="22"/>
        <v>0.19941348973607037</v>
      </c>
    </row>
    <row r="60" spans="2:16" x14ac:dyDescent="0.25">
      <c r="B60" s="3" t="s">
        <v>24</v>
      </c>
      <c r="C60" s="10"/>
      <c r="D60" s="5">
        <f t="shared" ref="D60:P60" si="23">(D34-C34)/C34</f>
        <v>3.3802816901408447E-2</v>
      </c>
      <c r="E60" s="5">
        <f t="shared" si="23"/>
        <v>-0.10354223433242507</v>
      </c>
      <c r="F60" s="5">
        <f t="shared" si="23"/>
        <v>3.0395136778115501E-3</v>
      </c>
      <c r="G60" s="5">
        <f t="shared" si="23"/>
        <v>5.7575757575757579E-2</v>
      </c>
      <c r="H60" s="5">
        <f t="shared" si="23"/>
        <v>-4.2979942693409739E-2</v>
      </c>
      <c r="I60" s="5">
        <f t="shared" si="23"/>
        <v>-7.4850299401197598E-2</v>
      </c>
      <c r="J60" s="5">
        <f t="shared" si="23"/>
        <v>0.10679611650485436</v>
      </c>
      <c r="K60" s="5">
        <f t="shared" si="23"/>
        <v>2.6315789473684209E-2</v>
      </c>
      <c r="L60" s="5">
        <f t="shared" si="23"/>
        <v>-1.7094017094017096E-2</v>
      </c>
      <c r="M60" s="5">
        <f t="shared" si="23"/>
        <v>-5.7971014492753624E-3</v>
      </c>
      <c r="N60" s="5">
        <f t="shared" si="23"/>
        <v>-0.19825072886297376</v>
      </c>
      <c r="O60" s="5">
        <f t="shared" si="23"/>
        <v>3.272727272727273E-2</v>
      </c>
      <c r="P60" s="11">
        <f t="shared" si="23"/>
        <v>-2.464788732394366E-2</v>
      </c>
    </row>
    <row r="61" spans="2:16" x14ac:dyDescent="0.25">
      <c r="B61" s="3" t="s">
        <v>25</v>
      </c>
      <c r="C61" s="10"/>
      <c r="D61" s="5">
        <f t="shared" ref="D61:P61" si="24">(D35-C35)/C35</f>
        <v>-2.4937655860349127E-3</v>
      </c>
      <c r="E61" s="5">
        <f t="shared" si="24"/>
        <v>-0.01</v>
      </c>
      <c r="F61" s="5">
        <f t="shared" si="24"/>
        <v>4.7979797979797977E-2</v>
      </c>
      <c r="G61" s="5">
        <f t="shared" si="24"/>
        <v>0.10361445783132531</v>
      </c>
      <c r="H61" s="5">
        <f t="shared" si="24"/>
        <v>-0.17467248908296942</v>
      </c>
      <c r="I61" s="5">
        <f t="shared" si="24"/>
        <v>0.33862433862433861</v>
      </c>
      <c r="J61" s="5">
        <f t="shared" si="24"/>
        <v>0.30632411067193677</v>
      </c>
      <c r="K61" s="5">
        <f t="shared" si="24"/>
        <v>0.11800302571860817</v>
      </c>
      <c r="L61" s="5">
        <f t="shared" si="24"/>
        <v>-0.17591339648173207</v>
      </c>
      <c r="M61" s="5">
        <f t="shared" si="24"/>
        <v>-0.11986863711001643</v>
      </c>
      <c r="N61" s="5">
        <f t="shared" si="24"/>
        <v>-0.11567164179104478</v>
      </c>
      <c r="O61" s="5">
        <f t="shared" si="24"/>
        <v>0.28902953586497893</v>
      </c>
      <c r="P61" s="11">
        <f t="shared" si="24"/>
        <v>0.17839607201309329</v>
      </c>
    </row>
    <row r="62" spans="2:16" x14ac:dyDescent="0.25">
      <c r="B62" s="3" t="s">
        <v>26</v>
      </c>
      <c r="C62" s="10"/>
      <c r="D62" s="5">
        <f t="shared" ref="D62:P62" si="25">(D36-C36)/C36</f>
        <v>3.5335689045936397E-2</v>
      </c>
      <c r="E62" s="5">
        <f t="shared" si="25"/>
        <v>-2.3890784982935155E-2</v>
      </c>
      <c r="F62" s="5">
        <f t="shared" si="25"/>
        <v>-2.1853146853146852E-2</v>
      </c>
      <c r="G62" s="5">
        <f t="shared" si="25"/>
        <v>-1.0723860589812333E-2</v>
      </c>
      <c r="H62" s="5">
        <f t="shared" si="25"/>
        <v>2.077687443541102E-2</v>
      </c>
      <c r="I62" s="5">
        <f t="shared" si="25"/>
        <v>-7.0796460176991149E-3</v>
      </c>
      <c r="J62" s="5">
        <f t="shared" si="25"/>
        <v>0.23083778966131907</v>
      </c>
      <c r="K62" s="5">
        <f t="shared" si="25"/>
        <v>-4.1274438812454746E-2</v>
      </c>
      <c r="L62" s="5">
        <f t="shared" si="25"/>
        <v>9.5921450151057408E-2</v>
      </c>
      <c r="M62" s="5">
        <f t="shared" si="25"/>
        <v>1.6540317022742935E-2</v>
      </c>
      <c r="N62" s="5">
        <f t="shared" si="25"/>
        <v>-0.36474576271186443</v>
      </c>
      <c r="O62" s="5">
        <f t="shared" si="25"/>
        <v>0.18036286019210246</v>
      </c>
      <c r="P62" s="11">
        <f t="shared" si="25"/>
        <v>0.19258589511754068</v>
      </c>
    </row>
    <row r="63" spans="2:16" x14ac:dyDescent="0.25">
      <c r="B63" s="3" t="s">
        <v>27</v>
      </c>
      <c r="C63" s="10"/>
      <c r="D63" s="5">
        <f t="shared" ref="D63:P63" si="26">(D37-C37)/C37</f>
        <v>-3.4146341463414637E-2</v>
      </c>
      <c r="E63" s="5">
        <f t="shared" si="26"/>
        <v>0</v>
      </c>
      <c r="F63" s="5">
        <f t="shared" si="26"/>
        <v>0.3888888888888889</v>
      </c>
      <c r="G63" s="5">
        <f t="shared" si="26"/>
        <v>0.26181818181818184</v>
      </c>
      <c r="H63" s="5">
        <f t="shared" si="26"/>
        <v>0</v>
      </c>
      <c r="I63" s="5">
        <f t="shared" si="26"/>
        <v>-9.5100864553314124E-2</v>
      </c>
      <c r="J63" s="5">
        <f t="shared" si="26"/>
        <v>0.47452229299363058</v>
      </c>
      <c r="K63" s="5">
        <f t="shared" si="26"/>
        <v>-8.4233261339092869E-2</v>
      </c>
      <c r="L63" s="5">
        <f t="shared" si="26"/>
        <v>-4.716981132075472E-2</v>
      </c>
      <c r="M63" s="5">
        <f t="shared" si="26"/>
        <v>-0.13366336633663367</v>
      </c>
      <c r="N63" s="5">
        <f t="shared" si="26"/>
        <v>-0.12285714285714286</v>
      </c>
      <c r="O63" s="5">
        <f t="shared" si="26"/>
        <v>0.24104234527687296</v>
      </c>
      <c r="P63" s="11">
        <f t="shared" si="26"/>
        <v>2.0997375328083989E-2</v>
      </c>
    </row>
    <row r="64" spans="2:16" x14ac:dyDescent="0.25">
      <c r="B64" s="3" t="s">
        <v>28</v>
      </c>
      <c r="C64" s="10"/>
      <c r="D64" s="5">
        <f t="shared" ref="D64:P64" si="27">(D38-C38)/C38</f>
        <v>8.0285459411239962E-2</v>
      </c>
      <c r="E64" s="5">
        <f t="shared" si="27"/>
        <v>6.028075970272502E-2</v>
      </c>
      <c r="F64" s="5">
        <f t="shared" si="27"/>
        <v>-7.7881619937694702E-4</v>
      </c>
      <c r="G64" s="5">
        <f t="shared" si="27"/>
        <v>-7.014809041309431E-3</v>
      </c>
      <c r="H64" s="5">
        <f t="shared" si="27"/>
        <v>1.6483516483516484E-2</v>
      </c>
      <c r="I64" s="5">
        <f t="shared" si="27"/>
        <v>5.2123552123552123E-2</v>
      </c>
      <c r="J64" s="5">
        <f t="shared" si="27"/>
        <v>3.3027522935779818E-2</v>
      </c>
      <c r="K64" s="5">
        <f t="shared" si="27"/>
        <v>-1.6696269982238009E-2</v>
      </c>
      <c r="L64" s="5">
        <f t="shared" si="27"/>
        <v>-3.5765895953757225E-2</v>
      </c>
      <c r="M64" s="5">
        <f t="shared" si="27"/>
        <v>9.7414762083177214E-3</v>
      </c>
      <c r="N64" s="5">
        <f t="shared" si="27"/>
        <v>0.12430426716141002</v>
      </c>
      <c r="O64" s="5">
        <f t="shared" si="27"/>
        <v>-0.12508250825082509</v>
      </c>
      <c r="P64" s="11">
        <f t="shared" si="27"/>
        <v>6.9784986797434931E-2</v>
      </c>
    </row>
    <row r="65" spans="1:16" x14ac:dyDescent="0.25">
      <c r="B65" s="3" t="s">
        <v>1</v>
      </c>
      <c r="C65" s="10"/>
      <c r="D65" s="5">
        <f t="shared" ref="D65:P65" si="28">(D39-C39)/C39</f>
        <v>-4.0671971706454466E-2</v>
      </c>
      <c r="E65" s="5">
        <f t="shared" si="28"/>
        <v>0.12043010752688173</v>
      </c>
      <c r="F65" s="5">
        <f t="shared" si="28"/>
        <v>1.6451878256100905E-3</v>
      </c>
      <c r="G65" s="5">
        <f t="shared" si="28"/>
        <v>-3.7229674240350397E-2</v>
      </c>
      <c r="H65" s="5">
        <f t="shared" si="28"/>
        <v>2.9570656809781062E-2</v>
      </c>
      <c r="I65" s="5">
        <f t="shared" si="28"/>
        <v>0.13311239988953327</v>
      </c>
      <c r="J65" s="5">
        <f t="shared" si="28"/>
        <v>1.8523031927857665E-2</v>
      </c>
      <c r="K65" s="5">
        <f t="shared" si="28"/>
        <v>2.0100502512562814E-2</v>
      </c>
      <c r="L65" s="5">
        <f t="shared" si="28"/>
        <v>6.0989913206661974E-3</v>
      </c>
      <c r="M65" s="5">
        <f t="shared" si="28"/>
        <v>2.9377477267428304E-2</v>
      </c>
      <c r="N65" s="5">
        <f t="shared" si="28"/>
        <v>-2.4009060022650058E-2</v>
      </c>
      <c r="O65" s="5">
        <f t="shared" si="28"/>
        <v>-2.1814806219540496E-2</v>
      </c>
      <c r="P65" s="11">
        <f t="shared" si="28"/>
        <v>1.32858837485172E-2</v>
      </c>
    </row>
    <row r="68" spans="1:16" x14ac:dyDescent="0.25">
      <c r="A68" s="15" t="s">
        <v>4</v>
      </c>
      <c r="B68" s="15"/>
      <c r="C68" s="1">
        <v>2010</v>
      </c>
      <c r="D68" s="1">
        <v>2011</v>
      </c>
      <c r="E68" s="1">
        <v>2012</v>
      </c>
      <c r="F68" s="1">
        <v>2013</v>
      </c>
      <c r="G68" s="1">
        <v>2014</v>
      </c>
      <c r="H68" s="1">
        <v>2015</v>
      </c>
      <c r="I68" s="1">
        <v>2016</v>
      </c>
      <c r="J68" s="1">
        <v>2017</v>
      </c>
      <c r="K68" s="1">
        <v>2018</v>
      </c>
      <c r="L68" s="1">
        <v>2019</v>
      </c>
      <c r="M68" s="1">
        <v>2020</v>
      </c>
      <c r="N68" s="1">
        <v>2021</v>
      </c>
      <c r="O68" s="1">
        <v>2022</v>
      </c>
      <c r="P68" s="1">
        <v>2023</v>
      </c>
    </row>
    <row r="69" spans="1:16" x14ac:dyDescent="0.25">
      <c r="B69" s="3" t="s">
        <v>8</v>
      </c>
      <c r="C69" s="10"/>
      <c r="D69" s="5"/>
      <c r="E69" s="5"/>
      <c r="F69" s="5">
        <f>(F16-C16)/C16</f>
        <v>0.13442481688927185</v>
      </c>
      <c r="G69" s="5">
        <f t="shared" ref="G69:P69" si="29">(G16-D16)/D16</f>
        <v>3.4181240063593007E-2</v>
      </c>
      <c r="H69" s="5">
        <f t="shared" si="29"/>
        <v>-1.1261261261261261E-3</v>
      </c>
      <c r="I69" s="5">
        <f t="shared" si="29"/>
        <v>2.8484618306114699E-2</v>
      </c>
      <c r="J69" s="5">
        <f t="shared" si="29"/>
        <v>5.1498847040737893E-2</v>
      </c>
      <c r="K69" s="5">
        <f t="shared" si="29"/>
        <v>0.10822998872604284</v>
      </c>
      <c r="L69" s="5">
        <f t="shared" si="29"/>
        <v>7.5332348596750365E-2</v>
      </c>
      <c r="M69" s="5">
        <f t="shared" si="29"/>
        <v>5.8479532163742687E-2</v>
      </c>
      <c r="N69" s="5">
        <f t="shared" si="29"/>
        <v>4.7473719905052558E-2</v>
      </c>
      <c r="O69" s="5">
        <f t="shared" si="29"/>
        <v>6.6964285714285712E-2</v>
      </c>
      <c r="P69" s="11">
        <f t="shared" si="29"/>
        <v>6.8715469613259667E-2</v>
      </c>
    </row>
    <row r="70" spans="1:16" x14ac:dyDescent="0.25">
      <c r="B70" s="3" t="s">
        <v>9</v>
      </c>
      <c r="C70" s="10"/>
      <c r="D70" s="5"/>
      <c r="E70" s="5"/>
      <c r="F70" s="5">
        <f t="shared" ref="F70:F92" si="30">(F17-C17)/C17</f>
        <v>0.5477178423236515</v>
      </c>
      <c r="G70" s="5">
        <f t="shared" ref="G70:G92" si="31">(G17-D17)/D17</f>
        <v>-8.3989501312335957E-2</v>
      </c>
      <c r="H70" s="5">
        <f t="shared" ref="H70:H92" si="32">(H17-E17)/E17</f>
        <v>-0.16859122401847576</v>
      </c>
      <c r="I70" s="5">
        <f t="shared" ref="I70:I92" si="33">(I17-F17)/F17</f>
        <v>-5.8981233243967826E-2</v>
      </c>
      <c r="J70" s="5">
        <f t="shared" ref="J70:J92" si="34">(J17-G17)/G17</f>
        <v>0.26647564469914042</v>
      </c>
      <c r="K70" s="5">
        <f t="shared" ref="K70:K92" si="35">(K17-H17)/H17</f>
        <v>-0.35555555555555557</v>
      </c>
      <c r="L70" s="5">
        <f t="shared" ref="L70:L92" si="36">(L17-I17)/I17</f>
        <v>-0.49002849002849003</v>
      </c>
      <c r="M70" s="5">
        <f t="shared" ref="M70:M92" si="37">(M17-J17)/J17</f>
        <v>-0.66742081447963797</v>
      </c>
      <c r="N70" s="5">
        <f t="shared" ref="N70:N92" si="38">(N17-K17)/K17</f>
        <v>-0.34913793103448276</v>
      </c>
      <c r="O70" s="5">
        <f t="shared" ref="O70:O92" si="39">(O17-L17)/L17</f>
        <v>6.1452513966480445E-2</v>
      </c>
      <c r="P70" s="11">
        <f t="shared" ref="P70:P92" si="40">(P17-M17)/M17</f>
        <v>0.14965986394557823</v>
      </c>
    </row>
    <row r="71" spans="1:16" x14ac:dyDescent="0.25">
      <c r="B71" s="3" t="s">
        <v>10</v>
      </c>
      <c r="C71" s="10"/>
      <c r="D71" s="5"/>
      <c r="E71" s="5"/>
      <c r="F71" s="5">
        <f t="shared" si="30"/>
        <v>0.25589225589225589</v>
      </c>
      <c r="G71" s="5">
        <f t="shared" si="31"/>
        <v>0.13738019169329074</v>
      </c>
      <c r="H71" s="5">
        <f t="shared" si="32"/>
        <v>-0.14201680672268907</v>
      </c>
      <c r="I71" s="5">
        <f t="shared" si="33"/>
        <v>0.1447721179624665</v>
      </c>
      <c r="J71" s="5">
        <f t="shared" si="34"/>
        <v>0.20880149812734083</v>
      </c>
      <c r="K71" s="5">
        <f t="shared" si="35"/>
        <v>0.31733594515181196</v>
      </c>
      <c r="L71" s="5">
        <f t="shared" si="36"/>
        <v>0.15690866510538642</v>
      </c>
      <c r="M71" s="5">
        <f t="shared" si="37"/>
        <v>0.21456235476374902</v>
      </c>
      <c r="N71" s="5">
        <f t="shared" si="38"/>
        <v>0.2037174721189591</v>
      </c>
      <c r="O71" s="5">
        <f t="shared" si="39"/>
        <v>6.3427800269905535E-2</v>
      </c>
      <c r="P71" s="11">
        <f t="shared" si="40"/>
        <v>6.8877551020408156E-2</v>
      </c>
    </row>
    <row r="72" spans="1:16" x14ac:dyDescent="0.25">
      <c r="B72" s="3" t="s">
        <v>11</v>
      </c>
      <c r="C72" s="10"/>
      <c r="D72" s="5"/>
      <c r="E72" s="5"/>
      <c r="F72" s="5">
        <f t="shared" si="30"/>
        <v>-9.852216748768473E-3</v>
      </c>
      <c r="G72" s="5">
        <f t="shared" si="31"/>
        <v>-4.9916805324459234E-3</v>
      </c>
      <c r="H72" s="5">
        <f t="shared" si="32"/>
        <v>3.3057851239669421E-3</v>
      </c>
      <c r="I72" s="5">
        <f t="shared" si="33"/>
        <v>2.6533996683250415E-2</v>
      </c>
      <c r="J72" s="5">
        <f t="shared" si="34"/>
        <v>7.6923076923076927E-2</v>
      </c>
      <c r="K72" s="5">
        <f t="shared" si="35"/>
        <v>4.9423393739703456E-3</v>
      </c>
      <c r="L72" s="5">
        <f t="shared" si="36"/>
        <v>-2.4232633279483037E-2</v>
      </c>
      <c r="M72" s="5">
        <f t="shared" si="37"/>
        <v>-1.5527950310559005E-3</v>
      </c>
      <c r="N72" s="5">
        <f t="shared" si="38"/>
        <v>8.1967213114754098E-4</v>
      </c>
      <c r="O72" s="5">
        <f t="shared" si="39"/>
        <v>0.11009933774834436</v>
      </c>
      <c r="P72" s="11">
        <f t="shared" si="40"/>
        <v>-5.4432348367029551E-2</v>
      </c>
    </row>
    <row r="73" spans="1:16" x14ac:dyDescent="0.25">
      <c r="B73" s="3" t="s">
        <v>12</v>
      </c>
      <c r="C73" s="10"/>
      <c r="D73" s="5"/>
      <c r="E73" s="5"/>
      <c r="F73" s="5">
        <f t="shared" si="30"/>
        <v>3.6363636363636364E-3</v>
      </c>
      <c r="G73" s="5">
        <f t="shared" si="31"/>
        <v>-7.1428571428571425E-2</v>
      </c>
      <c r="H73" s="5">
        <f t="shared" si="32"/>
        <v>-3.5746201966041107E-2</v>
      </c>
      <c r="I73" s="5">
        <f t="shared" si="33"/>
        <v>-1.0869565217391304E-2</v>
      </c>
      <c r="J73" s="5">
        <f t="shared" si="34"/>
        <v>2.4096385542168676E-2</v>
      </c>
      <c r="K73" s="5">
        <f t="shared" si="35"/>
        <v>6.4874884151992579E-2</v>
      </c>
      <c r="L73" s="5">
        <f t="shared" si="36"/>
        <v>3.021978021978022E-2</v>
      </c>
      <c r="M73" s="5">
        <f t="shared" si="37"/>
        <v>-0.11945701357466064</v>
      </c>
      <c r="N73" s="5">
        <f t="shared" si="38"/>
        <v>-1.392515230635335E-2</v>
      </c>
      <c r="O73" s="5">
        <f t="shared" si="39"/>
        <v>3.3777777777777775E-2</v>
      </c>
      <c r="P73" s="11">
        <f t="shared" si="40"/>
        <v>0.15005138746145941</v>
      </c>
    </row>
    <row r="74" spans="1:16" x14ac:dyDescent="0.25">
      <c r="B74" s="3" t="s">
        <v>13</v>
      </c>
      <c r="C74" s="10"/>
      <c r="D74" s="5"/>
      <c r="E74" s="5"/>
      <c r="F74" s="5">
        <f t="shared" si="30"/>
        <v>8.1896551724137928E-2</v>
      </c>
      <c r="G74" s="5">
        <f t="shared" si="31"/>
        <v>5.9835452505609572E-2</v>
      </c>
      <c r="H74" s="5">
        <f t="shared" si="32"/>
        <v>0.16915814319433517</v>
      </c>
      <c r="I74" s="5">
        <f t="shared" si="33"/>
        <v>-4.316069057104914E-2</v>
      </c>
      <c r="J74" s="5">
        <f t="shared" si="34"/>
        <v>3.2462949894142556E-2</v>
      </c>
      <c r="K74" s="5">
        <f t="shared" si="35"/>
        <v>-2.6917900403768506E-3</v>
      </c>
      <c r="L74" s="5">
        <f t="shared" si="36"/>
        <v>-1.31852879944483E-2</v>
      </c>
      <c r="M74" s="5">
        <f t="shared" si="37"/>
        <v>-0.1319207108680793</v>
      </c>
      <c r="N74" s="5">
        <f t="shared" si="38"/>
        <v>-0.21187584345479082</v>
      </c>
      <c r="O74" s="5">
        <f t="shared" si="39"/>
        <v>3.2348804500703238E-2</v>
      </c>
      <c r="P74" s="11">
        <f t="shared" si="40"/>
        <v>-6.2204724409448818E-2</v>
      </c>
    </row>
    <row r="75" spans="1:16" x14ac:dyDescent="0.25">
      <c r="B75" s="3" t="s">
        <v>14</v>
      </c>
      <c r="C75" s="10"/>
      <c r="D75" s="5"/>
      <c r="E75" s="5"/>
      <c r="F75" s="5">
        <f t="shared" si="30"/>
        <v>-4.3129388164493479E-2</v>
      </c>
      <c r="G75" s="5">
        <f t="shared" si="31"/>
        <v>7.8043704474505718E-2</v>
      </c>
      <c r="H75" s="5">
        <f t="shared" si="32"/>
        <v>-7.2164948453608251E-3</v>
      </c>
      <c r="I75" s="5">
        <f t="shared" si="33"/>
        <v>7.0230607966457026E-2</v>
      </c>
      <c r="J75" s="5">
        <f t="shared" si="34"/>
        <v>7.1428571428571425E-2</v>
      </c>
      <c r="K75" s="5">
        <f t="shared" si="35"/>
        <v>0.18795430944963656</v>
      </c>
      <c r="L75" s="5">
        <f t="shared" si="36"/>
        <v>-5.8765915768854066E-2</v>
      </c>
      <c r="M75" s="5">
        <f t="shared" si="37"/>
        <v>-0.1954954954954955</v>
      </c>
      <c r="N75" s="5">
        <f t="shared" si="38"/>
        <v>-0.19580419580419581</v>
      </c>
      <c r="O75" s="5">
        <f t="shared" si="39"/>
        <v>-0.12070759625390219</v>
      </c>
      <c r="P75" s="11">
        <f t="shared" si="40"/>
        <v>-0.11646136618141098</v>
      </c>
    </row>
    <row r="76" spans="1:16" x14ac:dyDescent="0.25">
      <c r="B76" s="3" t="s">
        <v>15</v>
      </c>
      <c r="C76" s="10"/>
      <c r="D76" s="5"/>
      <c r="E76" s="5"/>
      <c r="F76" s="5">
        <f t="shared" si="30"/>
        <v>-1.1674571324334184E-2</v>
      </c>
      <c r="G76" s="5">
        <f t="shared" si="31"/>
        <v>0.13293650793650794</v>
      </c>
      <c r="H76" s="5">
        <f t="shared" si="32"/>
        <v>5.9790732436472344E-2</v>
      </c>
      <c r="I76" s="5">
        <f t="shared" si="33"/>
        <v>8.3056478405315617E-2</v>
      </c>
      <c r="J76" s="5">
        <f t="shared" si="34"/>
        <v>0.10928196147110333</v>
      </c>
      <c r="K76" s="5">
        <f t="shared" si="35"/>
        <v>0.19287729196050776</v>
      </c>
      <c r="L76" s="5">
        <f t="shared" si="36"/>
        <v>0.1492842535787321</v>
      </c>
      <c r="M76" s="5">
        <f t="shared" si="37"/>
        <v>4.8942216608778025E-2</v>
      </c>
      <c r="N76" s="5">
        <f t="shared" si="38"/>
        <v>9.7546556310966603E-3</v>
      </c>
      <c r="O76" s="5">
        <f t="shared" si="39"/>
        <v>-7.4139976275207596E-3</v>
      </c>
      <c r="P76" s="11">
        <f t="shared" si="40"/>
        <v>7.4352799518362434E-2</v>
      </c>
    </row>
    <row r="77" spans="1:16" x14ac:dyDescent="0.25">
      <c r="B77" s="3" t="s">
        <v>16</v>
      </c>
      <c r="C77" s="10"/>
      <c r="D77" s="5"/>
      <c r="E77" s="5"/>
      <c r="F77" s="5">
        <f t="shared" si="30"/>
        <v>1.8535681186283594E-2</v>
      </c>
      <c r="G77" s="5">
        <f t="shared" si="31"/>
        <v>-4.6304541406945683E-2</v>
      </c>
      <c r="H77" s="5">
        <f t="shared" si="32"/>
        <v>-8.1673306772908363E-2</v>
      </c>
      <c r="I77" s="5">
        <f t="shared" si="33"/>
        <v>-0.15286624203821655</v>
      </c>
      <c r="J77" s="5">
        <f t="shared" si="34"/>
        <v>5.3221288515406161E-2</v>
      </c>
      <c r="K77" s="5">
        <f t="shared" si="35"/>
        <v>0.27657266811279829</v>
      </c>
      <c r="L77" s="5">
        <f t="shared" si="36"/>
        <v>7.3039742212674549E-2</v>
      </c>
      <c r="M77" s="5">
        <f t="shared" si="37"/>
        <v>-0.32801418439716312</v>
      </c>
      <c r="N77" s="5">
        <f t="shared" si="38"/>
        <v>-0.31520815632965166</v>
      </c>
      <c r="O77" s="5">
        <f t="shared" si="39"/>
        <v>-0.28328328328328328</v>
      </c>
      <c r="P77" s="11">
        <f t="shared" si="40"/>
        <v>-0.15039577836411611</v>
      </c>
    </row>
    <row r="78" spans="1:16" x14ac:dyDescent="0.25">
      <c r="B78" s="3" t="s">
        <v>17</v>
      </c>
      <c r="C78" s="10"/>
      <c r="D78" s="5"/>
      <c r="E78" s="5"/>
      <c r="F78" s="5">
        <f t="shared" si="30"/>
        <v>0.15327380952380953</v>
      </c>
      <c r="G78" s="5">
        <f t="shared" si="31"/>
        <v>-5.8971141781681308E-2</v>
      </c>
      <c r="H78" s="5">
        <f t="shared" si="32"/>
        <v>0.12536023054755044</v>
      </c>
      <c r="I78" s="5">
        <f t="shared" si="33"/>
        <v>-6.7096774193548384E-2</v>
      </c>
      <c r="J78" s="5">
        <f t="shared" si="34"/>
        <v>1.3333333333333334E-2</v>
      </c>
      <c r="K78" s="5">
        <f t="shared" si="35"/>
        <v>0.14212548015364918</v>
      </c>
      <c r="L78" s="5">
        <f t="shared" si="36"/>
        <v>0.1037344398340249</v>
      </c>
      <c r="M78" s="5">
        <f t="shared" si="37"/>
        <v>-0.14868421052631578</v>
      </c>
      <c r="N78" s="5">
        <f t="shared" si="38"/>
        <v>-0.23766816143497757</v>
      </c>
      <c r="O78" s="5">
        <f t="shared" si="39"/>
        <v>-0.13909774436090225</v>
      </c>
      <c r="P78" s="11">
        <f t="shared" si="40"/>
        <v>0.20092735703245751</v>
      </c>
    </row>
    <row r="79" spans="1:16" x14ac:dyDescent="0.25">
      <c r="B79" s="3" t="s">
        <v>2</v>
      </c>
      <c r="C79" s="10"/>
      <c r="D79" s="5"/>
      <c r="E79" s="5"/>
      <c r="F79" s="5">
        <f t="shared" si="30"/>
        <v>3.0534351145038167E-2</v>
      </c>
      <c r="G79" s="5">
        <f t="shared" si="31"/>
        <v>3.8095238095238099E-2</v>
      </c>
      <c r="H79" s="5">
        <f t="shared" si="32"/>
        <v>5.6221198156682028E-2</v>
      </c>
      <c r="I79" s="5">
        <f t="shared" si="33"/>
        <v>0.11574074074074074</v>
      </c>
      <c r="J79" s="5">
        <f t="shared" si="34"/>
        <v>0.15688073394495414</v>
      </c>
      <c r="K79" s="5">
        <f t="shared" si="35"/>
        <v>0.10820244328097731</v>
      </c>
      <c r="L79" s="5">
        <f t="shared" si="36"/>
        <v>-0.10622406639004149</v>
      </c>
      <c r="M79" s="5">
        <f t="shared" si="37"/>
        <v>-0.14670896114195084</v>
      </c>
      <c r="N79" s="5">
        <f t="shared" si="38"/>
        <v>-0.21102362204724409</v>
      </c>
      <c r="O79" s="5">
        <f t="shared" si="39"/>
        <v>-5.7567316620241414E-2</v>
      </c>
      <c r="P79" s="11">
        <f t="shared" si="40"/>
        <v>0.18215613382899629</v>
      </c>
    </row>
    <row r="80" spans="1:16" x14ac:dyDescent="0.25">
      <c r="B80" s="3" t="s">
        <v>18</v>
      </c>
      <c r="C80" s="10"/>
      <c r="D80" s="5"/>
      <c r="E80" s="5"/>
      <c r="F80" s="5">
        <f t="shared" si="30"/>
        <v>-9.7477845944103608E-2</v>
      </c>
      <c r="G80" s="5">
        <f t="shared" si="31"/>
        <v>0.33119658119658119</v>
      </c>
      <c r="H80" s="5">
        <f t="shared" si="32"/>
        <v>0.38834951456310679</v>
      </c>
      <c r="I80" s="5">
        <f t="shared" si="33"/>
        <v>0.22960725075528701</v>
      </c>
      <c r="J80" s="5">
        <f t="shared" si="34"/>
        <v>-3.3707865168539325E-2</v>
      </c>
      <c r="K80" s="5">
        <f t="shared" si="35"/>
        <v>-6.0247444862829479E-2</v>
      </c>
      <c r="L80" s="5">
        <f t="shared" si="36"/>
        <v>1.7813267813267815E-2</v>
      </c>
      <c r="M80" s="5">
        <f t="shared" si="37"/>
        <v>-9.8560354374307865E-2</v>
      </c>
      <c r="N80" s="5">
        <f t="shared" si="38"/>
        <v>-0.23068116771608471</v>
      </c>
      <c r="O80" s="5">
        <f t="shared" si="39"/>
        <v>-0.24441762220881111</v>
      </c>
      <c r="P80" s="11">
        <f t="shared" si="40"/>
        <v>-0.10565110565110565</v>
      </c>
    </row>
    <row r="81" spans="2:16" x14ac:dyDescent="0.25">
      <c r="B81" s="3" t="s">
        <v>0</v>
      </c>
      <c r="C81" s="10"/>
      <c r="D81" s="5"/>
      <c r="E81" s="5"/>
      <c r="F81" s="5">
        <f t="shared" si="30"/>
        <v>0.35406698564593303</v>
      </c>
      <c r="G81" s="5">
        <f t="shared" si="31"/>
        <v>0.22376237623762377</v>
      </c>
      <c r="H81" s="5">
        <f t="shared" si="32"/>
        <v>0.33400200601805419</v>
      </c>
      <c r="I81" s="5">
        <f t="shared" si="33"/>
        <v>9.3639575971731448E-2</v>
      </c>
      <c r="J81" s="5">
        <f t="shared" si="34"/>
        <v>8.4142394822006472E-2</v>
      </c>
      <c r="K81" s="5">
        <f t="shared" si="35"/>
        <v>9.7744360902255641E-3</v>
      </c>
      <c r="L81" s="5">
        <f t="shared" si="36"/>
        <v>-4.0387722132471729E-3</v>
      </c>
      <c r="M81" s="5">
        <f t="shared" si="37"/>
        <v>-0.33507462686567163</v>
      </c>
      <c r="N81" s="5">
        <f t="shared" si="38"/>
        <v>-0.25018615040953091</v>
      </c>
      <c r="O81" s="5">
        <f t="shared" si="39"/>
        <v>-0.29278183292781834</v>
      </c>
      <c r="P81" s="11">
        <f t="shared" si="40"/>
        <v>0.10213243546576879</v>
      </c>
    </row>
    <row r="82" spans="2:16" x14ac:dyDescent="0.25">
      <c r="B82" s="3" t="s">
        <v>19</v>
      </c>
      <c r="C82" s="10"/>
      <c r="D82" s="5"/>
      <c r="E82" s="5"/>
      <c r="F82" s="5">
        <f t="shared" si="30"/>
        <v>-9.2817679558011054E-2</v>
      </c>
      <c r="G82" s="5">
        <f t="shared" si="31"/>
        <v>-7.4693422519509473E-2</v>
      </c>
      <c r="H82" s="5">
        <f t="shared" si="32"/>
        <v>-3.8288288288288286E-2</v>
      </c>
      <c r="I82" s="5">
        <f t="shared" si="33"/>
        <v>-4.0194884287454324E-2</v>
      </c>
      <c r="J82" s="5">
        <f t="shared" si="34"/>
        <v>-5.6626506024096385E-2</v>
      </c>
      <c r="K82" s="5">
        <f t="shared" si="35"/>
        <v>2.224824355971897E-2</v>
      </c>
      <c r="L82" s="5">
        <f t="shared" si="36"/>
        <v>-0.21065989847715735</v>
      </c>
      <c r="M82" s="5">
        <f t="shared" si="37"/>
        <v>-0.32311621966794379</v>
      </c>
      <c r="N82" s="5">
        <f t="shared" si="38"/>
        <v>-0.5234822451317297</v>
      </c>
      <c r="O82" s="5">
        <f t="shared" si="39"/>
        <v>-0.2861736334405145</v>
      </c>
      <c r="P82" s="11">
        <f t="shared" si="40"/>
        <v>-0.18867924528301888</v>
      </c>
    </row>
    <row r="83" spans="2:16" x14ac:dyDescent="0.25">
      <c r="B83" s="3" t="s">
        <v>20</v>
      </c>
      <c r="C83" s="10"/>
      <c r="D83" s="5"/>
      <c r="E83" s="5"/>
      <c r="F83" s="5">
        <f t="shared" si="30"/>
        <v>-2.7603513174404015E-2</v>
      </c>
      <c r="G83" s="5">
        <f t="shared" si="31"/>
        <v>2.8947368421052631E-2</v>
      </c>
      <c r="H83" s="5">
        <f t="shared" si="32"/>
        <v>-1.5915119363395226E-2</v>
      </c>
      <c r="I83" s="5">
        <f t="shared" si="33"/>
        <v>-0.15354838709677418</v>
      </c>
      <c r="J83" s="5">
        <f t="shared" si="34"/>
        <v>-9.8465473145780052E-2</v>
      </c>
      <c r="K83" s="5">
        <f t="shared" si="35"/>
        <v>-8.6253369272237201E-2</v>
      </c>
      <c r="L83" s="5">
        <f t="shared" si="36"/>
        <v>-6.402439024390244E-2</v>
      </c>
      <c r="M83" s="5">
        <f t="shared" si="37"/>
        <v>-0.27659574468085107</v>
      </c>
      <c r="N83" s="5">
        <f t="shared" si="38"/>
        <v>-0.32153392330383479</v>
      </c>
      <c r="O83" s="5">
        <f t="shared" si="39"/>
        <v>-0.20521172638436483</v>
      </c>
      <c r="P83" s="11">
        <f t="shared" si="40"/>
        <v>5.8823529411764705E-2</v>
      </c>
    </row>
    <row r="84" spans="2:16" x14ac:dyDescent="0.25">
      <c r="B84" s="3" t="s">
        <v>21</v>
      </c>
      <c r="C84" s="10"/>
      <c r="D84" s="5"/>
      <c r="E84" s="5"/>
      <c r="F84" s="5">
        <f t="shared" si="30"/>
        <v>0.11196911196911197</v>
      </c>
      <c r="G84" s="5">
        <f t="shared" si="31"/>
        <v>0.14930555555555555</v>
      </c>
      <c r="H84" s="5">
        <f t="shared" si="32"/>
        <v>-1.8518518518518517E-2</v>
      </c>
      <c r="I84" s="5">
        <f t="shared" si="33"/>
        <v>0.13194444444444445</v>
      </c>
      <c r="J84" s="5">
        <f t="shared" si="34"/>
        <v>-1.2084592145015106E-2</v>
      </c>
      <c r="K84" s="5">
        <f t="shared" si="35"/>
        <v>0.20440251572327045</v>
      </c>
      <c r="L84" s="5">
        <f t="shared" si="36"/>
        <v>8.2822085889570546E-2</v>
      </c>
      <c r="M84" s="5">
        <f t="shared" si="37"/>
        <v>-0.12232415902140673</v>
      </c>
      <c r="N84" s="5">
        <f t="shared" si="38"/>
        <v>-0.20626631853785901</v>
      </c>
      <c r="O84" s="5">
        <f t="shared" si="39"/>
        <v>8.4985835694051E-3</v>
      </c>
      <c r="P84" s="11">
        <f t="shared" si="40"/>
        <v>0.38675958188153309</v>
      </c>
    </row>
    <row r="85" spans="2:16" x14ac:dyDescent="0.25">
      <c r="B85" s="3" t="s">
        <v>22</v>
      </c>
      <c r="C85" s="10"/>
      <c r="D85" s="5"/>
      <c r="E85" s="5"/>
      <c r="F85" s="5">
        <f t="shared" si="30"/>
        <v>-0.16844349680170576</v>
      </c>
      <c r="G85" s="5">
        <f t="shared" si="31"/>
        <v>-0.23084994753410285</v>
      </c>
      <c r="H85" s="5">
        <f t="shared" si="32"/>
        <v>-0.35294117647058826</v>
      </c>
      <c r="I85" s="5">
        <f t="shared" si="33"/>
        <v>-0.10384615384615385</v>
      </c>
      <c r="J85" s="5">
        <f t="shared" si="34"/>
        <v>-5.593451568894952E-2</v>
      </c>
      <c r="K85" s="5">
        <f t="shared" si="35"/>
        <v>0.12018489984591679</v>
      </c>
      <c r="L85" s="5">
        <f t="shared" si="36"/>
        <v>1.1444921316165951E-2</v>
      </c>
      <c r="M85" s="5">
        <f t="shared" si="37"/>
        <v>-0.22254335260115607</v>
      </c>
      <c r="N85" s="5">
        <f t="shared" si="38"/>
        <v>-0.38101788170563961</v>
      </c>
      <c r="O85" s="5">
        <f t="shared" si="39"/>
        <v>-0.32531824611032534</v>
      </c>
      <c r="P85" s="11">
        <f t="shared" si="40"/>
        <v>-0.11895910780669144</v>
      </c>
    </row>
    <row r="86" spans="2:16" x14ac:dyDescent="0.25">
      <c r="B86" s="3" t="s">
        <v>23</v>
      </c>
      <c r="C86" s="10"/>
      <c r="D86" s="5"/>
      <c r="E86" s="5"/>
      <c r="F86" s="5">
        <f t="shared" si="30"/>
        <v>-4.1623309053069719E-2</v>
      </c>
      <c r="G86" s="5">
        <f t="shared" si="31"/>
        <v>7.5706214689265541E-2</v>
      </c>
      <c r="H86" s="5">
        <f t="shared" si="32"/>
        <v>-0.11279826464208242</v>
      </c>
      <c r="I86" s="5">
        <f t="shared" si="33"/>
        <v>-4.8859934853420196E-2</v>
      </c>
      <c r="J86" s="5">
        <f t="shared" si="34"/>
        <v>1.050420168067227E-2</v>
      </c>
      <c r="K86" s="5">
        <f t="shared" si="35"/>
        <v>-3.6674816625916873E-2</v>
      </c>
      <c r="L86" s="5">
        <f t="shared" si="36"/>
        <v>-0.10616438356164383</v>
      </c>
      <c r="M86" s="5">
        <f t="shared" si="37"/>
        <v>-0.39293139293139295</v>
      </c>
      <c r="N86" s="5">
        <f t="shared" si="38"/>
        <v>-0.31091370558375636</v>
      </c>
      <c r="O86" s="5">
        <f t="shared" si="39"/>
        <v>-0.12899106002554278</v>
      </c>
      <c r="P86" s="11">
        <f t="shared" si="40"/>
        <v>0.40068493150684931</v>
      </c>
    </row>
    <row r="87" spans="2:16" x14ac:dyDescent="0.25">
      <c r="B87" s="3" t="s">
        <v>24</v>
      </c>
      <c r="C87" s="10"/>
      <c r="D87" s="5"/>
      <c r="E87" s="5"/>
      <c r="F87" s="5">
        <f t="shared" si="30"/>
        <v>-7.0422535211267609E-2</v>
      </c>
      <c r="G87" s="5">
        <f t="shared" si="31"/>
        <v>-4.9046321525885561E-2</v>
      </c>
      <c r="H87" s="5">
        <f t="shared" si="32"/>
        <v>1.5197568389057751E-2</v>
      </c>
      <c r="I87" s="5">
        <f t="shared" si="33"/>
        <v>-6.363636363636363E-2</v>
      </c>
      <c r="J87" s="5">
        <f t="shared" si="34"/>
        <v>-2.0057306590257881E-2</v>
      </c>
      <c r="K87" s="5">
        <f t="shared" si="35"/>
        <v>5.089820359281437E-2</v>
      </c>
      <c r="L87" s="5">
        <f t="shared" si="36"/>
        <v>0.11650485436893204</v>
      </c>
      <c r="M87" s="5">
        <f t="shared" si="37"/>
        <v>2.9239766081871343E-3</v>
      </c>
      <c r="N87" s="5">
        <f t="shared" si="38"/>
        <v>-0.21652421652421652</v>
      </c>
      <c r="O87" s="5">
        <f t="shared" si="39"/>
        <v>-0.17681159420289855</v>
      </c>
      <c r="P87" s="11">
        <f t="shared" si="40"/>
        <v>-0.1924198250728863</v>
      </c>
    </row>
    <row r="88" spans="2:16" x14ac:dyDescent="0.25">
      <c r="B88" s="3" t="s">
        <v>25</v>
      </c>
      <c r="C88" s="10"/>
      <c r="D88" s="5"/>
      <c r="E88" s="5"/>
      <c r="F88" s="5">
        <f t="shared" si="30"/>
        <v>3.4912718204488775E-2</v>
      </c>
      <c r="G88" s="5">
        <f t="shared" si="31"/>
        <v>0.14499999999999999</v>
      </c>
      <c r="H88" s="5">
        <f t="shared" si="32"/>
        <v>-4.5454545454545456E-2</v>
      </c>
      <c r="I88" s="5">
        <f t="shared" si="33"/>
        <v>0.21927710843373494</v>
      </c>
      <c r="J88" s="5">
        <f t="shared" si="34"/>
        <v>0.44323144104803491</v>
      </c>
      <c r="K88" s="5">
        <f t="shared" si="35"/>
        <v>0.955026455026455</v>
      </c>
      <c r="L88" s="5">
        <f t="shared" si="36"/>
        <v>0.20355731225296442</v>
      </c>
      <c r="M88" s="5">
        <f t="shared" si="37"/>
        <v>-0.18910741301059</v>
      </c>
      <c r="N88" s="5">
        <f t="shared" si="38"/>
        <v>-0.35859269282814615</v>
      </c>
      <c r="O88" s="5">
        <f t="shared" si="39"/>
        <v>3.2840722495894909E-3</v>
      </c>
      <c r="P88" s="11">
        <f t="shared" si="40"/>
        <v>0.34328358208955223</v>
      </c>
    </row>
    <row r="89" spans="2:16" x14ac:dyDescent="0.25">
      <c r="B89" s="3" t="s">
        <v>26</v>
      </c>
      <c r="C89" s="10"/>
      <c r="D89" s="5"/>
      <c r="E89" s="5"/>
      <c r="F89" s="5">
        <f t="shared" si="30"/>
        <v>-1.1484098939929329E-2</v>
      </c>
      <c r="G89" s="5">
        <f t="shared" si="31"/>
        <v>-5.546075085324232E-2</v>
      </c>
      <c r="H89" s="5">
        <f t="shared" si="32"/>
        <v>-1.2237762237762238E-2</v>
      </c>
      <c r="I89" s="5">
        <f t="shared" si="33"/>
        <v>2.6809651474530832E-3</v>
      </c>
      <c r="J89" s="5">
        <f t="shared" si="34"/>
        <v>0.24751580849141824</v>
      </c>
      <c r="K89" s="5">
        <f t="shared" si="35"/>
        <v>0.17168141592920355</v>
      </c>
      <c r="L89" s="5">
        <f t="shared" si="36"/>
        <v>0.29322638146167557</v>
      </c>
      <c r="M89" s="5">
        <f t="shared" si="37"/>
        <v>6.8066618392469219E-2</v>
      </c>
      <c r="N89" s="5">
        <f t="shared" si="38"/>
        <v>-0.29229607250755285</v>
      </c>
      <c r="O89" s="5">
        <f t="shared" si="39"/>
        <v>-0.2377670572019297</v>
      </c>
      <c r="P89" s="11">
        <f t="shared" si="40"/>
        <v>-0.10576271186440678</v>
      </c>
    </row>
    <row r="90" spans="2:16" x14ac:dyDescent="0.25">
      <c r="B90" s="3" t="s">
        <v>27</v>
      </c>
      <c r="C90" s="10"/>
      <c r="D90" s="5"/>
      <c r="E90" s="5"/>
      <c r="F90" s="5">
        <f t="shared" si="30"/>
        <v>0.34146341463414637</v>
      </c>
      <c r="G90" s="5">
        <f t="shared" si="31"/>
        <v>0.75252525252525249</v>
      </c>
      <c r="H90" s="5">
        <f t="shared" si="32"/>
        <v>0.75252525252525249</v>
      </c>
      <c r="I90" s="5">
        <f t="shared" si="33"/>
        <v>0.14181818181818182</v>
      </c>
      <c r="J90" s="5">
        <f t="shared" si="34"/>
        <v>0.33429394812680113</v>
      </c>
      <c r="K90" s="5">
        <f t="shared" si="35"/>
        <v>0.22190201729106629</v>
      </c>
      <c r="L90" s="5">
        <f t="shared" si="36"/>
        <v>0.28662420382165604</v>
      </c>
      <c r="M90" s="5">
        <f t="shared" si="37"/>
        <v>-0.24406047516198703</v>
      </c>
      <c r="N90" s="5">
        <f t="shared" si="38"/>
        <v>-0.27594339622641512</v>
      </c>
      <c r="O90" s="5">
        <f t="shared" si="39"/>
        <v>-5.6930693069306933E-2</v>
      </c>
      <c r="P90" s="11">
        <f t="shared" si="40"/>
        <v>0.11142857142857143</v>
      </c>
    </row>
    <row r="91" spans="2:16" x14ac:dyDescent="0.25">
      <c r="B91" s="3" t="s">
        <v>28</v>
      </c>
      <c r="C91" s="10"/>
      <c r="D91" s="5"/>
      <c r="E91" s="5"/>
      <c r="F91" s="5">
        <f t="shared" si="30"/>
        <v>0.14451382694023193</v>
      </c>
      <c r="G91" s="5">
        <f t="shared" si="31"/>
        <v>5.2023121387283239E-2</v>
      </c>
      <c r="H91" s="5">
        <f t="shared" si="32"/>
        <v>8.5669781931464167E-3</v>
      </c>
      <c r="I91" s="5">
        <f t="shared" si="33"/>
        <v>6.1964146531566643E-2</v>
      </c>
      <c r="J91" s="5">
        <f t="shared" si="34"/>
        <v>0.10478806907378337</v>
      </c>
      <c r="K91" s="5">
        <f t="shared" si="35"/>
        <v>6.8725868725868722E-2</v>
      </c>
      <c r="L91" s="5">
        <f t="shared" si="36"/>
        <v>-2.0550458715596329E-2</v>
      </c>
      <c r="M91" s="5">
        <f t="shared" si="37"/>
        <v>-4.2628774422735348E-2</v>
      </c>
      <c r="N91" s="5">
        <f t="shared" si="38"/>
        <v>9.4653179190751446E-2</v>
      </c>
      <c r="O91" s="5">
        <f t="shared" si="39"/>
        <v>-6.7440989134507304E-3</v>
      </c>
      <c r="P91" s="11">
        <f t="shared" si="40"/>
        <v>5.2319109461966606E-2</v>
      </c>
    </row>
    <row r="92" spans="2:16" x14ac:dyDescent="0.25">
      <c r="B92" s="3" t="s">
        <v>1</v>
      </c>
      <c r="C92" s="10"/>
      <c r="D92" s="5"/>
      <c r="E92" s="5"/>
      <c r="F92" s="5">
        <f t="shared" si="30"/>
        <v>7.662835249042145E-2</v>
      </c>
      <c r="G92" s="5">
        <f t="shared" si="31"/>
        <v>8.049155145929339E-2</v>
      </c>
      <c r="H92" s="5">
        <f t="shared" si="32"/>
        <v>-7.129147244310392E-3</v>
      </c>
      <c r="I92" s="5">
        <f t="shared" si="33"/>
        <v>0.12318642211880645</v>
      </c>
      <c r="J92" s="5">
        <f t="shared" si="34"/>
        <v>0.1882286039237987</v>
      </c>
      <c r="K92" s="5">
        <f t="shared" si="35"/>
        <v>0.17729908864954433</v>
      </c>
      <c r="L92" s="5">
        <f t="shared" si="36"/>
        <v>4.5332683402388496E-2</v>
      </c>
      <c r="M92" s="5">
        <f t="shared" si="37"/>
        <v>5.6472840392438384E-2</v>
      </c>
      <c r="N92" s="5">
        <f t="shared" si="38"/>
        <v>1.0790523105794042E-2</v>
      </c>
      <c r="O92" s="5">
        <f t="shared" si="39"/>
        <v>-1.725343903007694E-2</v>
      </c>
      <c r="P92" s="11">
        <f t="shared" si="40"/>
        <v>-3.2616081540203852E-2</v>
      </c>
    </row>
  </sheetData>
  <sortState xmlns:xlrd2="http://schemas.microsoft.com/office/spreadsheetml/2017/richdata2" ref="B16:B40">
    <sortCondition ref="B16:B40"/>
  </sortState>
  <mergeCells count="3">
    <mergeCell ref="A15:B15"/>
    <mergeCell ref="A68:B68"/>
    <mergeCell ref="A41:B41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CAE6A80-10D8-4C04-882A-B57541D4DB8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'Entrant Enrollment'!C40:O40</xm:f>
              <xm:sqref>P40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Entrant Enrollment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Cilino, Robert</cp:lastModifiedBy>
  <dcterms:created xsi:type="dcterms:W3CDTF">2022-07-21T21:30:41Z</dcterms:created>
  <dcterms:modified xsi:type="dcterms:W3CDTF">2025-11-12T20:29:00Z</dcterms:modified>
</cp:coreProperties>
</file>