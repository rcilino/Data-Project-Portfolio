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NEAIR\2025 Presentation\Automation for Everyone - Documents\Automation for Everyone - Documents\"/>
    </mc:Choice>
  </mc:AlternateContent>
  <xr:revisionPtr revIDLastSave="0" documentId="13_ncr:1_{30DB489C-A65A-43D3-A3EE-3EF9818B6F62}" xr6:coauthVersionLast="47" xr6:coauthVersionMax="47" xr10:uidLastSave="{00000000-0000-0000-0000-000000000000}"/>
  <bookViews>
    <workbookView xWindow="14205" yWindow="7005" windowWidth="17355" windowHeight="13320" firstSheet="1" activeTab="1" xr2:uid="{CFBEA952-717A-4C6E-A41E-181C8BD1E4C7}"/>
  </bookViews>
  <sheets>
    <sheet name="_xltb_storage_" sheetId="2" state="very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1" l="1"/>
  <c r="M20" i="1"/>
  <c r="M18" i="1"/>
  <c r="O18" i="1"/>
  <c r="P18" i="1"/>
  <c r="O19" i="1"/>
  <c r="P19" i="1"/>
  <c r="O20" i="1"/>
  <c r="P20" i="1"/>
  <c r="N20" i="1"/>
  <c r="N19" i="1"/>
  <c r="N18" i="1"/>
  <c r="K21" i="1"/>
  <c r="L21" i="1"/>
  <c r="M21" i="1"/>
  <c r="J21" i="1"/>
  <c r="D21" i="1"/>
  <c r="E21" i="1"/>
  <c r="F21" i="1"/>
  <c r="G21" i="1"/>
  <c r="H21" i="1"/>
  <c r="I21" i="1"/>
</calcChain>
</file>

<file path=xl/sharedStrings.xml><?xml version="1.0" encoding="utf-8"?>
<sst xmlns="http://schemas.openxmlformats.org/spreadsheetml/2006/main" count="25" uniqueCount="25">
  <si>
    <t>Graduation Rates Entering Year</t>
  </si>
  <si>
    <t>First-Time Full-Time</t>
  </si>
  <si>
    <t>Traditional four-year graduation rate (IPEDS or NYSED 2.9)</t>
  </si>
  <si>
    <t>Traditional five-year graduation rate (IPEDS or NYSED 2.9)</t>
  </si>
  <si>
    <t>Traditional six-year graduation rate (IPEDS or NYSED 2.9)</t>
  </si>
  <si>
    <t>From KPIs sheet</t>
  </si>
  <si>
    <t>XL Toolbox Settings</t>
  </si>
  <si>
    <t>XLToolbox.Export.Models.BatchExportSettings</t>
  </si>
  <si>
    <t>&lt;?xml version="1.0" encoding="utf-16"?&gt;_x000D_
&lt;BatchExportSettings xmlns:xsd="http://www.w3.org/2001/XMLSchema" xmlns:xsi="http://www.w3.org/2001/XMLSchema-instance"&gt;_x000D_
  &lt;Preset&gt;_x000D_
    &lt;Name&gt;Png, 300 dpi, RGB, Transparent canvas&lt;/Name&gt;_x000D_
    &lt;Dpi&gt;300&lt;/Dpi&gt;_x000D_
    &lt;FileType&gt;Png&lt;/FileType&gt;_x000D_
    &lt;ColorSpace&gt;Rgb&lt;/ColorSpace&gt;_x000D_
    &lt;Transparency&gt;TransparentCanvas&lt;/Transparency&gt;_x000D_
    &lt;UseColorProfile&gt;false&lt;/UseColorProfile&gt;_x000D_
    &lt;ColorProfile&gt;DELL U3415W_25-04-2019&lt;/ColorProfile&gt;_x000D_
  &lt;/Preset&gt;_x000D_
  &lt;FileName&gt;{worksheet}_{index}&lt;/FileName&gt;_x000D_
  &lt;Scope&gt;ActiveSheet&lt;/Scope&gt;_x000D_
  &lt;Objects&gt;Charts&lt;/Objects&gt;_x000D_
  &lt;Layout&gt;SingleItems&lt;/Layout&gt;_x000D_
  &lt;Path&gt;X:\Institutional Data\Dashboards and Finished Products\Division Dashboards\Fall 2020 Division Dashboards\Grad Rates&lt;/Path&gt;_x000D_
  &lt;Screenshot&gt;true&lt;/Screenshot&gt;_x000D_
&lt;/BatchExportSettings&gt;</t>
  </si>
  <si>
    <t>5-year graduation %</t>
  </si>
  <si>
    <t>6-year graduation %</t>
  </si>
  <si>
    <t>4-year graduation %</t>
  </si>
  <si>
    <t>8-year graduation %</t>
  </si>
  <si>
    <t>First-year retention %</t>
  </si>
  <si>
    <t>1st-yr to 4yr grad diff.</t>
  </si>
  <si>
    <t>Combine your retention and graduation data in a single chart to see trends and understand potential future graduation rates</t>
  </si>
  <si>
    <t>Include forecasts of future graduation rates based on the actual retention of your cohorts at their 2nd, 3rd, and 4th years based on prior expectations of upperclassmen attrition</t>
  </si>
  <si>
    <t>All you have to do is add more rows and keep items blank until the year your projection would start from.</t>
  </si>
  <si>
    <t>-Robert Cilino</t>
  </si>
  <si>
    <t>You can even use another set of data for data labels to reference. That is included here as the "Upperclassmen Attrition" or the difference between 1st and 4-year graduation rates</t>
  </si>
  <si>
    <t>4yr High Projection</t>
  </si>
  <si>
    <t>4yr Mid Projection</t>
  </si>
  <si>
    <t>4yr Lo Projection</t>
  </si>
  <si>
    <t>*Fictionalized Data</t>
  </si>
  <si>
    <t>Add data labels for one line then format the data labels as references from a range of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</si>
</sst>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2" tint="-0.499984740745262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3" fillId="0" borderId="3" xfId="0" applyFont="1" applyBorder="1"/>
    <xf numFmtId="0" fontId="0" fillId="0" borderId="3" xfId="0" applyBorder="1"/>
    <xf numFmtId="0" fontId="3" fillId="0" borderId="0" xfId="0" applyFont="1"/>
    <xf numFmtId="0" fontId="0" fillId="0" borderId="0" xfId="0" applyAlignment="1">
      <alignment wrapText="1"/>
    </xf>
    <xf numFmtId="0" fontId="2" fillId="0" borderId="6" xfId="0" applyFont="1" applyBorder="1"/>
    <xf numFmtId="9" fontId="0" fillId="0" borderId="0" xfId="0" applyNumberFormat="1"/>
    <xf numFmtId="0" fontId="0" fillId="0" borderId="0" xfId="0" applyAlignment="1">
      <alignment horizontal="right"/>
    </xf>
    <xf numFmtId="0" fontId="0" fillId="0" borderId="6" xfId="0" applyBorder="1"/>
    <xf numFmtId="9" fontId="0" fillId="0" borderId="3" xfId="1" applyFont="1" applyBorder="1"/>
    <xf numFmtId="9" fontId="0" fillId="0" borderId="0" xfId="1" applyFont="1" applyFill="1" applyBorder="1"/>
    <xf numFmtId="9" fontId="0" fillId="0" borderId="0" xfId="1" applyFont="1"/>
    <xf numFmtId="0" fontId="5" fillId="0" borderId="0" xfId="0" applyFont="1"/>
    <xf numFmtId="49" fontId="5" fillId="0" borderId="0" xfId="0" applyNumberFormat="1" applyFont="1"/>
    <xf numFmtId="0" fontId="2" fillId="0" borderId="0" xfId="0" applyFont="1"/>
    <xf numFmtId="9" fontId="0" fillId="0" borderId="6" xfId="1" applyFont="1" applyBorder="1"/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9465A"/>
      <color rgb="FFFFDD7D"/>
      <color rgb="FFE8D67A"/>
      <color rgb="FF5C8679"/>
      <color rgb="FFA0B2A7"/>
      <color rgb="FFFFC423"/>
      <color rgb="FF255E91"/>
      <color rgb="FF00583D"/>
      <color rgb="FFB189A0"/>
      <color rgb="FF6363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Graduation Rates vs First-Year Retention</a:t>
            </a:r>
            <a:r>
              <a:rPr lang="en-US" baseline="0"/>
              <a:t> Rates by Cohort</a:t>
            </a:r>
            <a:endParaRPr lang="en-US"/>
          </a:p>
        </c:rich>
      </c:tx>
      <c:overlay val="0"/>
      <c:spPr>
        <a:noFill/>
        <a:ln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Sheet1!$C$13</c:f>
              <c:strCache>
                <c:ptCount val="1"/>
                <c:pt idx="0">
                  <c:v>4-year graduation %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5C8679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Sheet1!$D$12:$P$12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Sheet1!$D$13:$P$13</c:f>
              <c:numCache>
                <c:formatCode>0%</c:formatCode>
                <c:ptCount val="13"/>
                <c:pt idx="0">
                  <c:v>0.47076100000000004</c:v>
                </c:pt>
                <c:pt idx="1">
                  <c:v>0.49087999999999998</c:v>
                </c:pt>
                <c:pt idx="2">
                  <c:v>0.45</c:v>
                </c:pt>
                <c:pt idx="3">
                  <c:v>0.44543999999999995</c:v>
                </c:pt>
                <c:pt idx="4">
                  <c:v>0.45656000000000002</c:v>
                </c:pt>
                <c:pt idx="5">
                  <c:v>0.48</c:v>
                </c:pt>
                <c:pt idx="6">
                  <c:v>0.5</c:v>
                </c:pt>
                <c:pt idx="7">
                  <c:v>0.43</c:v>
                </c:pt>
                <c:pt idx="8">
                  <c:v>0.41</c:v>
                </c:pt>
                <c:pt idx="9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72-44AE-9755-2EDC3CFD7D85}"/>
            </c:ext>
          </c:extLst>
        </c:ser>
        <c:ser>
          <c:idx val="2"/>
          <c:order val="1"/>
          <c:tx>
            <c:strRef>
              <c:f>Sheet1!$C$14</c:f>
              <c:strCache>
                <c:ptCount val="1"/>
                <c:pt idx="0">
                  <c:v>5-year graduation %</c:v>
                </c:pt>
              </c:strCache>
            </c:strRef>
          </c:tx>
          <c:spPr>
            <a:ln w="28575" cap="rnd">
              <a:solidFill>
                <a:srgbClr val="FFC42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rgbClr val="FFC423"/>
                </a:solidFill>
              </a:ln>
              <a:effectLst/>
            </c:spPr>
          </c:marker>
          <c:cat>
            <c:numRef>
              <c:f>Sheet1!$D$12:$P$12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Sheet1!$D$14:$P$14</c:f>
              <c:numCache>
                <c:formatCode>0%</c:formatCode>
                <c:ptCount val="13"/>
                <c:pt idx="0">
                  <c:v>0.55000000000000004</c:v>
                </c:pt>
                <c:pt idx="1">
                  <c:v>0.53327999999999998</c:v>
                </c:pt>
                <c:pt idx="2">
                  <c:v>0.5</c:v>
                </c:pt>
                <c:pt idx="3">
                  <c:v>0.51900000000000002</c:v>
                </c:pt>
                <c:pt idx="4">
                  <c:v>0.5</c:v>
                </c:pt>
                <c:pt idx="5">
                  <c:v>0.52</c:v>
                </c:pt>
                <c:pt idx="6">
                  <c:v>0.5</c:v>
                </c:pt>
                <c:pt idx="7">
                  <c:v>0.45</c:v>
                </c:pt>
                <c:pt idx="8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72-44AE-9755-2EDC3CFD7D85}"/>
            </c:ext>
          </c:extLst>
        </c:ser>
        <c:ser>
          <c:idx val="3"/>
          <c:order val="2"/>
          <c:tx>
            <c:strRef>
              <c:f>Sheet1!$C$15</c:f>
              <c:strCache>
                <c:ptCount val="1"/>
                <c:pt idx="0">
                  <c:v>6-year graduation %</c:v>
                </c:pt>
              </c:strCache>
            </c:strRef>
          </c:tx>
          <c:spPr>
            <a:ln w="28575" cap="rnd">
              <a:solidFill>
                <a:srgbClr val="69465A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69465A"/>
                </a:solidFill>
              </a:ln>
              <a:effectLst/>
            </c:spPr>
          </c:marker>
          <c:cat>
            <c:numRef>
              <c:f>Sheet1!$D$12:$P$12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Sheet1!$D$15:$P$15</c:f>
              <c:numCache>
                <c:formatCode>0%</c:formatCode>
                <c:ptCount val="13"/>
                <c:pt idx="0">
                  <c:v>0.56000000000000005</c:v>
                </c:pt>
                <c:pt idx="1">
                  <c:v>0.53300000000000003</c:v>
                </c:pt>
                <c:pt idx="2">
                  <c:v>0.52</c:v>
                </c:pt>
                <c:pt idx="3">
                  <c:v>0.52938000000000007</c:v>
                </c:pt>
                <c:pt idx="4">
                  <c:v>0.51</c:v>
                </c:pt>
                <c:pt idx="5">
                  <c:v>0.53</c:v>
                </c:pt>
                <c:pt idx="6">
                  <c:v>0.52</c:v>
                </c:pt>
                <c:pt idx="7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72-44AE-9755-2EDC3CFD7D85}"/>
            </c:ext>
          </c:extLst>
        </c:ser>
        <c:ser>
          <c:idx val="4"/>
          <c:order val="3"/>
          <c:tx>
            <c:strRef>
              <c:f>Sheet1!$C$16</c:f>
              <c:strCache>
                <c:ptCount val="1"/>
                <c:pt idx="0">
                  <c:v>8-year graduation 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Sheet1!$D$12:$P$12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Sheet1!$D$16:$P$16</c:f>
              <c:numCache>
                <c:formatCode>0%</c:formatCode>
                <c:ptCount val="13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B72-44AE-9755-2EDC3CFD7D85}"/>
            </c:ext>
          </c:extLst>
        </c:ser>
        <c:ser>
          <c:idx val="5"/>
          <c:order val="4"/>
          <c:tx>
            <c:strRef>
              <c:f>Sheet1!$C$17</c:f>
              <c:strCache>
                <c:ptCount val="1"/>
                <c:pt idx="0">
                  <c:v>First-year retention %</c:v>
                </c:pt>
              </c:strCache>
            </c:strRef>
          </c:tx>
          <c:spPr>
            <a:ln w="28575" cap="rnd">
              <a:solidFill>
                <a:srgbClr val="A0B2A7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5C8679"/>
              </a:solidFill>
              <a:ln w="9525">
                <a:solidFill>
                  <a:srgbClr val="00583D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2513856544940643E-2"/>
                  <c:y val="0.17262966788743858"/>
                </c:manualLayout>
              </c:layout>
              <c:tx>
                <c:rich>
                  <a:bodyPr/>
                  <a:lstStyle/>
                  <a:p>
                    <a:fld id="{AD96E1CD-2497-4A89-8710-3844F74FBD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B72-44AE-9755-2EDC3CFD7D85}"/>
                </c:ext>
              </c:extLst>
            </c:dLbl>
            <c:dLbl>
              <c:idx val="1"/>
              <c:layout>
                <c:manualLayout>
                  <c:x val="-2.2513856544940744E-2"/>
                  <c:y val="0.16682626037330534"/>
                </c:manualLayout>
              </c:layout>
              <c:tx>
                <c:rich>
                  <a:bodyPr/>
                  <a:lstStyle/>
                  <a:p>
                    <a:fld id="{DA96D27A-6625-42BB-B951-4ECD9688BB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EB72-44AE-9755-2EDC3CFD7D85}"/>
                </c:ext>
              </c:extLst>
            </c:dLbl>
            <c:dLbl>
              <c:idx val="2"/>
              <c:layout>
                <c:manualLayout>
                  <c:x val="-2.3896978944847505E-2"/>
                  <c:y val="0.16392455661623861"/>
                </c:manualLayout>
              </c:layout>
              <c:tx>
                <c:rich>
                  <a:bodyPr/>
                  <a:lstStyle/>
                  <a:p>
                    <a:fld id="{7C32D5F7-CDA1-4DBE-84BF-9E681B7330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B72-44AE-9755-2EDC3CFD7D85}"/>
                </c:ext>
              </c:extLst>
            </c:dLbl>
            <c:dLbl>
              <c:idx val="3"/>
              <c:layout>
                <c:manualLayout>
                  <c:x val="-2.2513856544940744E-2"/>
                  <c:y val="0.1552194453450389"/>
                </c:manualLayout>
              </c:layout>
              <c:tx>
                <c:rich>
                  <a:bodyPr/>
                  <a:lstStyle/>
                  <a:p>
                    <a:fld id="{F42584D8-5534-498C-A901-0438DF6D7A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B72-44AE-9755-2EDC3CFD7D85}"/>
                </c:ext>
              </c:extLst>
            </c:dLbl>
            <c:dLbl>
              <c:idx val="4"/>
              <c:layout>
                <c:manualLayout>
                  <c:x val="-2.2513856544940845E-2"/>
                  <c:y val="0.14941603783090551"/>
                </c:manualLayout>
              </c:layout>
              <c:tx>
                <c:rich>
                  <a:bodyPr/>
                  <a:lstStyle/>
                  <a:p>
                    <a:fld id="{178E4207-6F31-4CA2-9BC4-E9F1EBF140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B72-44AE-9755-2EDC3CFD7D85}"/>
                </c:ext>
              </c:extLst>
            </c:dLbl>
            <c:dLbl>
              <c:idx val="5"/>
              <c:layout>
                <c:manualLayout>
                  <c:x val="-2.5402956808080517E-2"/>
                  <c:y val="0.19874500170103809"/>
                </c:manualLayout>
              </c:layout>
              <c:tx>
                <c:rich>
                  <a:bodyPr/>
                  <a:lstStyle/>
                  <a:p>
                    <a:fld id="{A9217809-2CDE-4986-A305-79576A8FFA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B72-44AE-9755-2EDC3CFD7D85}"/>
                </c:ext>
              </c:extLst>
            </c:dLbl>
            <c:dLbl>
              <c:idx val="6"/>
              <c:layout>
                <c:manualLayout>
                  <c:x val="-2.6442474755660958E-2"/>
                  <c:y val="0.1899964791137877"/>
                </c:manualLayout>
              </c:layout>
              <c:tx>
                <c:rich>
                  <a:bodyPr/>
                  <a:lstStyle/>
                  <a:p>
                    <a:fld id="{B3B39636-D70B-4D03-8271-FD8C2C6266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EB72-44AE-9755-2EDC3CFD7D85}"/>
                </c:ext>
              </c:extLst>
            </c:dLbl>
            <c:dLbl>
              <c:idx val="7"/>
              <c:layout>
                <c:manualLayout>
                  <c:x val="-2.3513875500123804E-2"/>
                  <c:y val="0.15521944534503884"/>
                </c:manualLayout>
              </c:layout>
              <c:tx>
                <c:rich>
                  <a:bodyPr/>
                  <a:lstStyle/>
                  <a:p>
                    <a:fld id="{38C67A10-31B1-4799-B63F-E19A10C442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EB72-44AE-9755-2EDC3CFD7D85}"/>
                </c:ext>
              </c:extLst>
            </c:dLbl>
            <c:dLbl>
              <c:idx val="8"/>
              <c:layout>
                <c:manualLayout>
                  <c:x val="-2.6403005149816729E-2"/>
                  <c:y val="0.16682626037330534"/>
                </c:manualLayout>
              </c:layout>
              <c:tx>
                <c:rich>
                  <a:bodyPr/>
                  <a:lstStyle/>
                  <a:p>
                    <a:fld id="{0227B1AB-1CF1-40F7-9D34-4237296C87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EB72-44AE-9755-2EDC3CFD7D85}"/>
                </c:ext>
              </c:extLst>
            </c:dLbl>
            <c:dLbl>
              <c:idx val="9"/>
              <c:layout>
                <c:manualLayout>
                  <c:x val="-4.951604234736097E-2"/>
                  <c:y val="0.1494160378309056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Upperclassmen</a:t>
                    </a:r>
                    <a:br>
                      <a:rPr lang="en-US"/>
                    </a:br>
                    <a:r>
                      <a:rPr lang="en-US"/>
                      <a:t>Attrition</a:t>
                    </a:r>
                    <a:br>
                      <a:rPr lang="en-US"/>
                    </a:br>
                    <a:fld id="{28515F0E-2A1D-469A-9FDF-5B6F9CD20D1E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A0B2A7"/>
                  </a:solidFill>
                  <a:prstDash val="dash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0FC-42AE-B49E-43D59C9A47F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FAD-4B6C-B437-380E3813D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FAD-4B6C-B437-380E3813D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FAD-4B6C-B437-380E3813DBA9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A0B2A7"/>
                </a:solidFill>
                <a:prstDash val="dash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Sheet1!$D$12:$P$12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Sheet1!$D$17:$P$17</c:f>
              <c:numCache>
                <c:formatCode>0%</c:formatCode>
                <c:ptCount val="13"/>
                <c:pt idx="0">
                  <c:v>0.73</c:v>
                </c:pt>
                <c:pt idx="1">
                  <c:v>0.72</c:v>
                </c:pt>
                <c:pt idx="2">
                  <c:v>0.67610062893081757</c:v>
                </c:pt>
                <c:pt idx="3">
                  <c:v>0.67671232876712328</c:v>
                </c:pt>
                <c:pt idx="4">
                  <c:v>0.6975476839237057</c:v>
                </c:pt>
                <c:pt idx="5">
                  <c:v>0.74</c:v>
                </c:pt>
                <c:pt idx="6">
                  <c:v>0.75</c:v>
                </c:pt>
                <c:pt idx="7">
                  <c:v>0.68</c:v>
                </c:pt>
                <c:pt idx="8">
                  <c:v>0.67</c:v>
                </c:pt>
                <c:pt idx="9">
                  <c:v>0.7</c:v>
                </c:pt>
                <c:pt idx="10">
                  <c:v>0.72</c:v>
                </c:pt>
                <c:pt idx="11">
                  <c:v>0.71</c:v>
                </c:pt>
                <c:pt idx="12">
                  <c:v>0.68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Sheet1!$D$21:$M$21</c15:f>
                <c15:dlblRangeCache>
                  <c:ptCount val="10"/>
                  <c:pt idx="0">
                    <c:v>26%</c:v>
                  </c:pt>
                  <c:pt idx="1">
                    <c:v>23%</c:v>
                  </c:pt>
                  <c:pt idx="2">
                    <c:v>23%</c:v>
                  </c:pt>
                  <c:pt idx="3">
                    <c:v>23%</c:v>
                  </c:pt>
                  <c:pt idx="4">
                    <c:v>24%</c:v>
                  </c:pt>
                  <c:pt idx="5">
                    <c:v>26%</c:v>
                  </c:pt>
                  <c:pt idx="6">
                    <c:v>25%</c:v>
                  </c:pt>
                  <c:pt idx="7">
                    <c:v>25%</c:v>
                  </c:pt>
                  <c:pt idx="8">
                    <c:v>26%</c:v>
                  </c:pt>
                  <c:pt idx="9">
                    <c:v>24%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EB72-44AE-9755-2EDC3CFD7D85}"/>
            </c:ext>
          </c:extLst>
        </c:ser>
        <c:ser>
          <c:idx val="0"/>
          <c:order val="5"/>
          <c:tx>
            <c:strRef>
              <c:f>Sheet1!$C$18</c:f>
              <c:strCache>
                <c:ptCount val="1"/>
                <c:pt idx="0">
                  <c:v>4yr High Projection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Sheet1!$D$12:$P$12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Sheet1!$D$18:$P$18</c:f>
              <c:numCache>
                <c:formatCode>0%</c:formatCode>
                <c:ptCount val="13"/>
                <c:pt idx="9">
                  <c:v>0.46</c:v>
                </c:pt>
                <c:pt idx="10">
                  <c:v>0.5</c:v>
                </c:pt>
                <c:pt idx="11">
                  <c:v>0.49</c:v>
                </c:pt>
                <c:pt idx="12">
                  <c:v>0.46000000000000008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D7-449E-877E-21898D05DA15}"/>
            </c:ext>
          </c:extLst>
        </c:ser>
        <c:ser>
          <c:idx val="6"/>
          <c:order val="6"/>
          <c:tx>
            <c:strRef>
              <c:f>Sheet1!$C$19</c:f>
              <c:strCache>
                <c:ptCount val="1"/>
                <c:pt idx="0">
                  <c:v>4yr Mid Projection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Sheet1!$D$12:$P$12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Sheet1!$D$19:$P$19</c:f>
              <c:numCache>
                <c:formatCode>0%</c:formatCode>
                <c:ptCount val="13"/>
                <c:pt idx="9">
                  <c:v>0.46</c:v>
                </c:pt>
                <c:pt idx="10">
                  <c:v>0.47</c:v>
                </c:pt>
                <c:pt idx="11">
                  <c:v>0.45999999999999996</c:v>
                </c:pt>
                <c:pt idx="12">
                  <c:v>0.43000000000000005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D7-449E-877E-21898D05DA15}"/>
            </c:ext>
          </c:extLst>
        </c:ser>
        <c:ser>
          <c:idx val="7"/>
          <c:order val="7"/>
          <c:tx>
            <c:strRef>
              <c:f>Sheet1!$C$20</c:f>
              <c:strCache>
                <c:ptCount val="1"/>
                <c:pt idx="0">
                  <c:v>4yr Lo Projection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Sheet1!$D$12:$P$12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Sheet1!$D$20:$P$20</c:f>
              <c:numCache>
                <c:formatCode>0%</c:formatCode>
                <c:ptCount val="13"/>
                <c:pt idx="9">
                  <c:v>0.46</c:v>
                </c:pt>
                <c:pt idx="10">
                  <c:v>0.44999999999999996</c:v>
                </c:pt>
                <c:pt idx="11">
                  <c:v>0.43999999999999995</c:v>
                </c:pt>
                <c:pt idx="12">
                  <c:v>0.41000000000000003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D7-449E-877E-21898D05D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  <a:alpha val="35000"/>
                </a:schemeClr>
              </a:solidFill>
              <a:prstDash val="dashDot"/>
              <a:round/>
            </a:ln>
            <a:effectLst/>
          </c:spPr>
        </c:hiLowLines>
        <c:marker val="1"/>
        <c:smooth val="0"/>
        <c:axId val="453361871"/>
        <c:axId val="453371023"/>
        <c:extLst>
          <c:ext xmlns:c15="http://schemas.microsoft.com/office/drawing/2012/chart" uri="{02D57815-91ED-43cb-92C2-25804820EDAC}"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Sheet1!$C$21</c15:sqref>
                        </c15:formulaRef>
                      </c:ext>
                    </c:extLst>
                    <c:strCache>
                      <c:ptCount val="1"/>
                      <c:pt idx="0">
                        <c:v>1st-yr to 4yr grad diff.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Sheet1!$D$12:$P$12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  <c:pt idx="4">
                        <c:v>2017</c:v>
                      </c:pt>
                      <c:pt idx="5">
                        <c:v>2018</c:v>
                      </c:pt>
                      <c:pt idx="6">
                        <c:v>2019</c:v>
                      </c:pt>
                      <c:pt idx="7">
                        <c:v>2020</c:v>
                      </c:pt>
                      <c:pt idx="8">
                        <c:v>2021</c:v>
                      </c:pt>
                      <c:pt idx="9">
                        <c:v>2022</c:v>
                      </c:pt>
                      <c:pt idx="10">
                        <c:v>2023</c:v>
                      </c:pt>
                      <c:pt idx="11">
                        <c:v>2024</c:v>
                      </c:pt>
                      <c:pt idx="12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Sheet1!$D$21:$P$21</c15:sqref>
                        </c15:formulaRef>
                      </c:ext>
                    </c:extLst>
                    <c:numCache>
                      <c:formatCode>0%</c:formatCode>
                      <c:ptCount val="13"/>
                      <c:pt idx="0">
                        <c:v>0.25923899999999994</c:v>
                      </c:pt>
                      <c:pt idx="1">
                        <c:v>0.22911999999999999</c:v>
                      </c:pt>
                      <c:pt idx="2">
                        <c:v>0.22610062893081756</c:v>
                      </c:pt>
                      <c:pt idx="3">
                        <c:v>0.23127232876712334</c:v>
                      </c:pt>
                      <c:pt idx="4">
                        <c:v>0.24098768392370568</c:v>
                      </c:pt>
                      <c:pt idx="5">
                        <c:v>0.26</c:v>
                      </c:pt>
                      <c:pt idx="6">
                        <c:v>0.25</c:v>
                      </c:pt>
                      <c:pt idx="7">
                        <c:v>0.25000000000000006</c:v>
                      </c:pt>
                      <c:pt idx="8">
                        <c:v>0.26000000000000006</c:v>
                      </c:pt>
                      <c:pt idx="9">
                        <c:v>0.23999999999999994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6B4-4129-AA05-095E1D6A62E8}"/>
                  </c:ext>
                </c:extLst>
              </c15:ser>
            </c15:filteredLineSeries>
          </c:ext>
        </c:extLst>
      </c:lineChart>
      <c:catAx>
        <c:axId val="45336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71023"/>
        <c:crosses val="autoZero"/>
        <c:auto val="1"/>
        <c:lblAlgn val="ctr"/>
        <c:lblOffset val="100"/>
        <c:noMultiLvlLbl val="0"/>
      </c:catAx>
      <c:valAx>
        <c:axId val="453371023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6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583D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22</xdr:row>
      <xdr:rowOff>14286</xdr:rowOff>
    </xdr:from>
    <xdr:to>
      <xdr:col>16</xdr:col>
      <xdr:colOff>209550</xdr:colOff>
      <xdr:row>45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7BEE91-C2F5-E4C8-8F0A-9E923617D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9F1C-57EC-4804-BADE-67A00E18DE4C}">
  <dimension ref="A1:C2"/>
  <sheetViews>
    <sheetView workbookViewId="0"/>
  </sheetViews>
  <sheetFormatPr defaultRowHeight="15" x14ac:dyDescent="0.25"/>
  <sheetData>
    <row r="1" spans="1:3" x14ac:dyDescent="0.25">
      <c r="A1" t="s">
        <v>6</v>
      </c>
    </row>
    <row r="2" spans="1:3" ht="409.5" x14ac:dyDescent="0.25">
      <c r="B2" t="s">
        <v>7</v>
      </c>
      <c r="C2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4EB1-904F-48E2-B26A-8671349378ED}">
  <dimension ref="A1:R36"/>
  <sheetViews>
    <sheetView tabSelected="1" zoomScaleNormal="100" workbookViewId="0"/>
  </sheetViews>
  <sheetFormatPr defaultRowHeight="15" x14ac:dyDescent="0.25"/>
  <cols>
    <col min="2" max="2" width="26.42578125" customWidth="1"/>
    <col min="3" max="3" width="20.28515625" bestFit="1" customWidth="1"/>
    <col min="4" max="16" width="7" customWidth="1"/>
  </cols>
  <sheetData>
    <row r="1" spans="1:18" x14ac:dyDescent="0.25">
      <c r="A1" s="13" t="s">
        <v>15</v>
      </c>
    </row>
    <row r="2" spans="1:18" x14ac:dyDescent="0.25">
      <c r="A2" s="13" t="s">
        <v>16</v>
      </c>
    </row>
    <row r="3" spans="1:18" x14ac:dyDescent="0.25">
      <c r="A3" s="13" t="s">
        <v>17</v>
      </c>
    </row>
    <row r="4" spans="1:18" x14ac:dyDescent="0.25">
      <c r="A4" s="13" t="s">
        <v>19</v>
      </c>
    </row>
    <row r="5" spans="1:18" x14ac:dyDescent="0.25">
      <c r="A5" s="13" t="s">
        <v>24</v>
      </c>
    </row>
    <row r="6" spans="1:18" x14ac:dyDescent="0.25">
      <c r="A6" s="14" t="s">
        <v>18</v>
      </c>
    </row>
    <row r="7" spans="1:18" x14ac:dyDescent="0.25">
      <c r="A7" s="13" t="s">
        <v>23</v>
      </c>
    </row>
    <row r="8" spans="1:18" x14ac:dyDescent="0.25">
      <c r="A8" s="13"/>
    </row>
    <row r="9" spans="1:18" x14ac:dyDescent="0.25">
      <c r="B9" s="17" t="s">
        <v>5</v>
      </c>
      <c r="C9" s="17"/>
      <c r="D9" s="17"/>
      <c r="E9" s="17"/>
      <c r="F9" s="17"/>
      <c r="G9" s="17"/>
      <c r="H9" s="17"/>
    </row>
    <row r="10" spans="1:18" x14ac:dyDescent="0.25">
      <c r="B10" s="17"/>
      <c r="C10" s="17"/>
      <c r="D10" s="17"/>
      <c r="E10" s="17"/>
      <c r="F10" s="17"/>
      <c r="G10" s="17"/>
      <c r="H10" s="17"/>
    </row>
    <row r="11" spans="1:18" ht="15" customHeight="1" x14ac:dyDescent="0.25"/>
    <row r="12" spans="1:18" x14ac:dyDescent="0.25">
      <c r="A12" s="1" t="s">
        <v>0</v>
      </c>
      <c r="D12" s="6">
        <v>2013</v>
      </c>
      <c r="E12" s="6">
        <v>2014</v>
      </c>
      <c r="F12" s="6">
        <v>2015</v>
      </c>
      <c r="G12" s="6">
        <v>2016</v>
      </c>
      <c r="H12" s="6">
        <v>2017</v>
      </c>
      <c r="I12" s="6">
        <v>2018</v>
      </c>
      <c r="J12" s="6">
        <v>2019</v>
      </c>
      <c r="K12" s="6">
        <v>2020</v>
      </c>
      <c r="L12" s="6">
        <v>2021</v>
      </c>
      <c r="M12" s="6">
        <v>2022</v>
      </c>
      <c r="N12" s="6">
        <v>2023</v>
      </c>
      <c r="O12" s="6">
        <v>2024</v>
      </c>
      <c r="P12" s="6">
        <v>2025</v>
      </c>
      <c r="Q12" s="15"/>
      <c r="R12" s="15"/>
    </row>
    <row r="13" spans="1:18" x14ac:dyDescent="0.25">
      <c r="A13" s="18" t="s">
        <v>1</v>
      </c>
      <c r="B13" s="2" t="s">
        <v>2</v>
      </c>
      <c r="C13" s="3" t="s">
        <v>11</v>
      </c>
      <c r="D13" s="10">
        <v>0.47076100000000004</v>
      </c>
      <c r="E13" s="10">
        <v>0.49087999999999998</v>
      </c>
      <c r="F13" s="10">
        <v>0.45</v>
      </c>
      <c r="G13" s="10">
        <v>0.44543999999999995</v>
      </c>
      <c r="H13" s="11">
        <v>0.45656000000000002</v>
      </c>
      <c r="I13" s="11">
        <v>0.48</v>
      </c>
      <c r="J13" s="11">
        <v>0.5</v>
      </c>
      <c r="K13" s="11">
        <v>0.43</v>
      </c>
      <c r="L13" s="11">
        <v>0.41</v>
      </c>
      <c r="M13" s="11">
        <v>0.46</v>
      </c>
      <c r="N13" s="12"/>
      <c r="O13" s="12"/>
      <c r="P13" s="12"/>
    </row>
    <row r="14" spans="1:18" x14ac:dyDescent="0.25">
      <c r="A14" s="19"/>
      <c r="B14" s="4" t="s">
        <v>3</v>
      </c>
      <c r="C14" t="s">
        <v>9</v>
      </c>
      <c r="D14" s="12">
        <v>0.55000000000000004</v>
      </c>
      <c r="E14" s="12">
        <v>0.53327999999999998</v>
      </c>
      <c r="F14" s="12">
        <v>0.5</v>
      </c>
      <c r="G14" s="12">
        <v>0.51900000000000002</v>
      </c>
      <c r="H14" s="12">
        <v>0.5</v>
      </c>
      <c r="I14" s="12">
        <v>0.52</v>
      </c>
      <c r="J14" s="12">
        <v>0.5</v>
      </c>
      <c r="K14" s="12">
        <v>0.45</v>
      </c>
      <c r="L14" s="12">
        <v>0.44</v>
      </c>
      <c r="M14" s="12"/>
      <c r="N14" s="12"/>
      <c r="O14" s="12"/>
      <c r="P14" s="12"/>
    </row>
    <row r="15" spans="1:18" ht="15" customHeight="1" x14ac:dyDescent="0.25">
      <c r="A15" s="20"/>
      <c r="B15" t="s">
        <v>4</v>
      </c>
      <c r="C15" t="s">
        <v>10</v>
      </c>
      <c r="D15" s="12">
        <v>0.56000000000000005</v>
      </c>
      <c r="E15" s="12">
        <v>0.53300000000000003</v>
      </c>
      <c r="F15" s="12">
        <v>0.52</v>
      </c>
      <c r="G15" s="12">
        <v>0.52938000000000007</v>
      </c>
      <c r="H15" s="12">
        <v>0.51</v>
      </c>
      <c r="I15" s="12">
        <v>0.53</v>
      </c>
      <c r="J15" s="12">
        <v>0.52</v>
      </c>
      <c r="K15" s="12">
        <v>0.47</v>
      </c>
      <c r="L15" s="12"/>
      <c r="M15" s="12"/>
      <c r="N15" s="12"/>
      <c r="O15" s="12"/>
      <c r="P15" s="12"/>
    </row>
    <row r="16" spans="1:18" x14ac:dyDescent="0.25">
      <c r="C16" t="s">
        <v>12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3:16" x14ac:dyDescent="0.25">
      <c r="C17" s="8" t="s">
        <v>13</v>
      </c>
      <c r="D17" s="12">
        <v>0.73</v>
      </c>
      <c r="E17" s="12">
        <v>0.72</v>
      </c>
      <c r="F17" s="12">
        <v>0.67610062893081757</v>
      </c>
      <c r="G17" s="12">
        <v>0.67671232876712328</v>
      </c>
      <c r="H17" s="12">
        <v>0.6975476839237057</v>
      </c>
      <c r="I17" s="12">
        <v>0.74</v>
      </c>
      <c r="J17" s="12">
        <v>0.75</v>
      </c>
      <c r="K17" s="12">
        <v>0.68</v>
      </c>
      <c r="L17" s="12">
        <v>0.67</v>
      </c>
      <c r="M17" s="12">
        <v>0.7</v>
      </c>
      <c r="N17" s="12">
        <v>0.72</v>
      </c>
      <c r="O17" s="12">
        <v>0.71</v>
      </c>
      <c r="P17" s="12">
        <v>0.68</v>
      </c>
    </row>
    <row r="18" spans="3:16" x14ac:dyDescent="0.25">
      <c r="C18" t="s">
        <v>20</v>
      </c>
      <c r="D18" s="12"/>
      <c r="E18" s="12"/>
      <c r="F18" s="12"/>
      <c r="G18" s="12"/>
      <c r="H18" s="12"/>
      <c r="I18" s="12"/>
      <c r="J18" s="12"/>
      <c r="K18" s="12"/>
      <c r="L18" s="12"/>
      <c r="M18" s="11">
        <f>$M$13</f>
        <v>0.46</v>
      </c>
      <c r="N18" s="12">
        <f>N$17-0.22</f>
        <v>0.5</v>
      </c>
      <c r="O18" s="12">
        <f t="shared" ref="O18:P18" si="0">O$17-0.22</f>
        <v>0.49</v>
      </c>
      <c r="P18" s="12">
        <f t="shared" si="0"/>
        <v>0.46000000000000008</v>
      </c>
    </row>
    <row r="19" spans="3:16" x14ac:dyDescent="0.25">
      <c r="C19" t="s">
        <v>21</v>
      </c>
      <c r="D19" s="12"/>
      <c r="E19" s="12"/>
      <c r="F19" s="12"/>
      <c r="G19" s="12"/>
      <c r="H19" s="12"/>
      <c r="I19" s="12"/>
      <c r="J19" s="12"/>
      <c r="K19" s="12"/>
      <c r="L19" s="12"/>
      <c r="M19" s="11">
        <f t="shared" ref="M19:M20" si="1">$M$13</f>
        <v>0.46</v>
      </c>
      <c r="N19" s="12">
        <f>N$17-0.25</f>
        <v>0.47</v>
      </c>
      <c r="O19" s="12">
        <f t="shared" ref="O19:P19" si="2">O$17-0.25</f>
        <v>0.45999999999999996</v>
      </c>
      <c r="P19" s="12">
        <f t="shared" si="2"/>
        <v>0.43000000000000005</v>
      </c>
    </row>
    <row r="20" spans="3:16" x14ac:dyDescent="0.25">
      <c r="C20" t="s">
        <v>22</v>
      </c>
      <c r="D20" s="12"/>
      <c r="E20" s="12"/>
      <c r="F20" s="12"/>
      <c r="G20" s="12"/>
      <c r="H20" s="12"/>
      <c r="I20" s="12"/>
      <c r="J20" s="12"/>
      <c r="K20" s="12"/>
      <c r="L20" s="12"/>
      <c r="M20" s="11">
        <f t="shared" si="1"/>
        <v>0.46</v>
      </c>
      <c r="N20" s="12">
        <f>N$17-0.27</f>
        <v>0.44999999999999996</v>
      </c>
      <c r="O20" s="12">
        <f t="shared" ref="O20:P20" si="3">O$17-0.27</f>
        <v>0.43999999999999995</v>
      </c>
      <c r="P20" s="12">
        <f t="shared" si="3"/>
        <v>0.41000000000000003</v>
      </c>
    </row>
    <row r="21" spans="3:16" x14ac:dyDescent="0.25">
      <c r="C21" s="9" t="s">
        <v>14</v>
      </c>
      <c r="D21" s="16">
        <f t="shared" ref="D21:J21" si="4">D17-D13</f>
        <v>0.25923899999999994</v>
      </c>
      <c r="E21" s="16">
        <f t="shared" si="4"/>
        <v>0.22911999999999999</v>
      </c>
      <c r="F21" s="16">
        <f t="shared" si="4"/>
        <v>0.22610062893081756</v>
      </c>
      <c r="G21" s="16">
        <f t="shared" si="4"/>
        <v>0.23127232876712334</v>
      </c>
      <c r="H21" s="16">
        <f t="shared" si="4"/>
        <v>0.24098768392370568</v>
      </c>
      <c r="I21" s="16">
        <f t="shared" si="4"/>
        <v>0.26</v>
      </c>
      <c r="J21" s="16">
        <f t="shared" si="4"/>
        <v>0.25</v>
      </c>
      <c r="K21" s="16">
        <f t="shared" ref="K21:M21" si="5">K17-K13</f>
        <v>0.25000000000000006</v>
      </c>
      <c r="L21" s="16">
        <f t="shared" si="5"/>
        <v>0.26000000000000006</v>
      </c>
      <c r="M21" s="16">
        <f t="shared" si="5"/>
        <v>0.23999999999999994</v>
      </c>
      <c r="N21" s="16"/>
      <c r="O21" s="16"/>
      <c r="P21" s="16"/>
    </row>
    <row r="35" spans="14:14" x14ac:dyDescent="0.25">
      <c r="N35" s="7"/>
    </row>
    <row r="36" spans="14:14" x14ac:dyDescent="0.25">
      <c r="N36" s="7"/>
    </row>
  </sheetData>
  <mergeCells count="2">
    <mergeCell ref="B9:H10"/>
    <mergeCell ref="A13:A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Cilino</dc:creator>
  <cp:lastModifiedBy>Cilino, Robert</cp:lastModifiedBy>
  <dcterms:created xsi:type="dcterms:W3CDTF">2020-10-23T18:50:30Z</dcterms:created>
  <dcterms:modified xsi:type="dcterms:W3CDTF">2025-11-12T20:27:49Z</dcterms:modified>
</cp:coreProperties>
</file>