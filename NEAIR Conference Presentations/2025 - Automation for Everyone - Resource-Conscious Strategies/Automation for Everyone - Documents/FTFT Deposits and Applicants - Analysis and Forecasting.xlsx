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jcil\Downloads\NEAIR Conference 2025 Presentation Documents\NEAIR Conference 2025 Presentation Documents\Automation for Everyone - Documents\"/>
    </mc:Choice>
  </mc:AlternateContent>
  <xr:revisionPtr revIDLastSave="0" documentId="13_ncr:1_{078AC1BD-B4D6-4BF3-BA7F-8783FEB4D072}" xr6:coauthVersionLast="47" xr6:coauthVersionMax="47" xr10:uidLastSave="{00000000-0000-0000-0000-000000000000}"/>
  <bookViews>
    <workbookView xWindow="6255" yWindow="870" windowWidth="21570" windowHeight="14730" xr2:uid="{26F786CD-FFBF-426D-B7C5-EC525A5AA5AE}"/>
  </bookViews>
  <sheets>
    <sheet name="Deposi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2" l="1"/>
  <c r="C29" i="2"/>
  <c r="C30" i="2"/>
  <c r="C31" i="2"/>
  <c r="C32" i="2"/>
  <c r="C33" i="2"/>
  <c r="C34" i="2"/>
  <c r="C35" i="2"/>
  <c r="C36" i="2"/>
  <c r="C37" i="2"/>
  <c r="C38" i="2"/>
  <c r="C39" i="2"/>
  <c r="D39" i="2" s="1"/>
  <c r="E39" i="2" s="1"/>
  <c r="F39" i="2" s="1"/>
  <c r="G39" i="2" s="1"/>
  <c r="H39" i="2" s="1"/>
  <c r="I39" i="2" s="1"/>
  <c r="J39" i="2" s="1"/>
  <c r="B27" i="2"/>
  <c r="D35" i="2" l="1"/>
  <c r="D34" i="2"/>
  <c r="D37" i="2"/>
  <c r="D33" i="2"/>
  <c r="D29" i="2"/>
  <c r="D31" i="2"/>
  <c r="D38" i="2"/>
  <c r="D30" i="2"/>
  <c r="C27" i="2"/>
  <c r="D36" i="2"/>
  <c r="D32" i="2"/>
  <c r="D28" i="2"/>
  <c r="V51" i="2"/>
  <c r="V50" i="2"/>
  <c r="E28" i="2" l="1"/>
  <c r="E36" i="2"/>
  <c r="E30" i="2"/>
  <c r="E31" i="2"/>
  <c r="E33" i="2"/>
  <c r="E34" i="2"/>
  <c r="E32" i="2"/>
  <c r="D27" i="2"/>
  <c r="E38" i="2"/>
  <c r="E29" i="2"/>
  <c r="E37" i="2"/>
  <c r="E35" i="2"/>
  <c r="X50" i="2"/>
  <c r="W50" i="2"/>
  <c r="Y50" i="2"/>
  <c r="Y51" i="2"/>
  <c r="W51" i="2"/>
  <c r="X51" i="2"/>
  <c r="F35" i="2" l="1"/>
  <c r="F29" i="2"/>
  <c r="E27" i="2"/>
  <c r="F34" i="2"/>
  <c r="F31" i="2"/>
  <c r="F36" i="2"/>
  <c r="F37" i="2"/>
  <c r="F38" i="2"/>
  <c r="F32" i="2"/>
  <c r="F33" i="2"/>
  <c r="F30" i="2"/>
  <c r="F28" i="2"/>
  <c r="G33" i="2" l="1"/>
  <c r="G34" i="2"/>
  <c r="G28" i="2"/>
  <c r="G38" i="2"/>
  <c r="G36" i="2"/>
  <c r="G29" i="2"/>
  <c r="G30" i="2"/>
  <c r="G32" i="2"/>
  <c r="G37" i="2"/>
  <c r="G31" i="2"/>
  <c r="F27" i="2"/>
  <c r="G35" i="2"/>
  <c r="H35" i="2" l="1"/>
  <c r="H32" i="2"/>
  <c r="H38" i="2"/>
  <c r="H31" i="2"/>
  <c r="H29" i="2"/>
  <c r="H34" i="2"/>
  <c r="G27" i="2"/>
  <c r="H37" i="2"/>
  <c r="H30" i="2"/>
  <c r="H36" i="2"/>
  <c r="H28" i="2"/>
  <c r="H33" i="2"/>
  <c r="I36" i="2" l="1"/>
  <c r="I31" i="2"/>
  <c r="I33" i="2"/>
  <c r="I37" i="2"/>
  <c r="I34" i="2"/>
  <c r="I32" i="2"/>
  <c r="I28" i="2"/>
  <c r="I30" i="2"/>
  <c r="H27" i="2"/>
  <c r="I29" i="2"/>
  <c r="I38" i="2"/>
  <c r="I35" i="2"/>
  <c r="J29" i="2" l="1"/>
  <c r="J37" i="2"/>
  <c r="J35" i="2"/>
  <c r="J30" i="2"/>
  <c r="J32" i="2"/>
  <c r="J31" i="2"/>
  <c r="J38" i="2"/>
  <c r="I27" i="2"/>
  <c r="J28" i="2"/>
  <c r="J34" i="2"/>
  <c r="J33" i="2"/>
  <c r="J36" i="2"/>
  <c r="K36" i="2" l="1"/>
  <c r="K31" i="2"/>
  <c r="K34" i="2"/>
  <c r="J27" i="2"/>
  <c r="K30" i="2"/>
  <c r="K37" i="2"/>
  <c r="K33" i="2"/>
  <c r="K28" i="2"/>
  <c r="K38" i="2"/>
  <c r="K32" i="2"/>
  <c r="K35" i="2"/>
  <c r="K29" i="2"/>
  <c r="L32" i="2" l="1"/>
  <c r="K27" i="2"/>
  <c r="L29" i="2"/>
  <c r="L28" i="2"/>
  <c r="L37" i="2"/>
  <c r="L31" i="2"/>
  <c r="L35" i="2"/>
  <c r="L38" i="2"/>
  <c r="L33" i="2"/>
  <c r="L30" i="2"/>
  <c r="L34" i="2"/>
  <c r="L36" i="2"/>
  <c r="M36" i="2" l="1"/>
  <c r="M31" i="2"/>
  <c r="M30" i="2"/>
  <c r="M38" i="2"/>
  <c r="M28" i="2"/>
  <c r="L27" i="2"/>
  <c r="M34" i="2"/>
  <c r="M33" i="2"/>
  <c r="M35" i="2"/>
  <c r="M37" i="2"/>
  <c r="M29" i="2"/>
  <c r="M32" i="2"/>
  <c r="N37" i="2" l="1"/>
  <c r="M27" i="2"/>
  <c r="N32" i="2"/>
  <c r="N33" i="2"/>
  <c r="N38" i="2"/>
  <c r="N31" i="2"/>
  <c r="N29" i="2"/>
  <c r="N35" i="2"/>
  <c r="N34" i="2"/>
  <c r="N28" i="2"/>
  <c r="N30" i="2"/>
  <c r="N36" i="2"/>
  <c r="O36" i="2" l="1"/>
  <c r="N54" i="2" s="1"/>
  <c r="O31" i="2"/>
  <c r="N49" i="2"/>
  <c r="O28" i="2"/>
  <c r="N46" i="2" s="1"/>
  <c r="O35" i="2"/>
  <c r="N53" i="2"/>
  <c r="O33" i="2"/>
  <c r="N51" i="2" s="1"/>
  <c r="N27" i="2"/>
  <c r="O30" i="2"/>
  <c r="N48" i="2" s="1"/>
  <c r="O34" i="2"/>
  <c r="N52" i="2"/>
  <c r="O29" i="2"/>
  <c r="N47" i="2" s="1"/>
  <c r="O38" i="2"/>
  <c r="N56" i="2"/>
  <c r="O32" i="2"/>
  <c r="N50" i="2" s="1"/>
  <c r="O37" i="2"/>
  <c r="N55" i="2" s="1"/>
  <c r="N60" i="2" l="1"/>
  <c r="N59" i="2"/>
  <c r="N61" i="2"/>
  <c r="B55" i="2"/>
  <c r="O55" i="2"/>
  <c r="C55" i="2"/>
  <c r="D55" i="2"/>
  <c r="E55" i="2"/>
  <c r="F55" i="2"/>
  <c r="G55" i="2"/>
  <c r="H55" i="2"/>
  <c r="I55" i="2"/>
  <c r="J55" i="2"/>
  <c r="K55" i="2"/>
  <c r="L55" i="2"/>
  <c r="M55" i="2"/>
  <c r="B56" i="2"/>
  <c r="O56" i="2"/>
  <c r="C56" i="2"/>
  <c r="D56" i="2"/>
  <c r="E56" i="2"/>
  <c r="F56" i="2"/>
  <c r="G56" i="2"/>
  <c r="H56" i="2"/>
  <c r="I56" i="2"/>
  <c r="J56" i="2"/>
  <c r="V49" i="2" s="1"/>
  <c r="K56" i="2"/>
  <c r="L56" i="2"/>
  <c r="M56" i="2"/>
  <c r="B52" i="2"/>
  <c r="O52" i="2"/>
  <c r="C52" i="2"/>
  <c r="D52" i="2"/>
  <c r="E52" i="2"/>
  <c r="F52" i="2"/>
  <c r="G52" i="2"/>
  <c r="H52" i="2"/>
  <c r="I52" i="2"/>
  <c r="J52" i="2"/>
  <c r="K52" i="2"/>
  <c r="L52" i="2"/>
  <c r="M52" i="2"/>
  <c r="O27" i="2"/>
  <c r="N45" i="2"/>
  <c r="N58" i="2" s="1"/>
  <c r="O53" i="2"/>
  <c r="B53" i="2"/>
  <c r="C53" i="2"/>
  <c r="D53" i="2"/>
  <c r="D61" i="2" s="1"/>
  <c r="E53" i="2"/>
  <c r="F53" i="2"/>
  <c r="G53" i="2"/>
  <c r="G61" i="2" s="1"/>
  <c r="H53" i="2"/>
  <c r="H61" i="2" s="1"/>
  <c r="I53" i="2"/>
  <c r="J53" i="2"/>
  <c r="K53" i="2"/>
  <c r="K61" i="2" s="1"/>
  <c r="L53" i="2"/>
  <c r="L61" i="2" s="1"/>
  <c r="M53" i="2"/>
  <c r="B49" i="2"/>
  <c r="O49" i="2"/>
  <c r="C49" i="2"/>
  <c r="D49" i="2"/>
  <c r="E49" i="2"/>
  <c r="F49" i="2"/>
  <c r="G49" i="2"/>
  <c r="H49" i="2"/>
  <c r="I49" i="2"/>
  <c r="J49" i="2"/>
  <c r="K49" i="2"/>
  <c r="L49" i="2"/>
  <c r="M49" i="2"/>
  <c r="B50" i="2"/>
  <c r="O50" i="2"/>
  <c r="C50" i="2"/>
  <c r="D50" i="2"/>
  <c r="E50" i="2"/>
  <c r="F50" i="2"/>
  <c r="G50" i="2"/>
  <c r="H50" i="2"/>
  <c r="I50" i="2"/>
  <c r="J50" i="2"/>
  <c r="K50" i="2"/>
  <c r="L50" i="2"/>
  <c r="M50" i="2"/>
  <c r="O47" i="2"/>
  <c r="B47" i="2"/>
  <c r="C47" i="2"/>
  <c r="D47" i="2"/>
  <c r="E47" i="2"/>
  <c r="F47" i="2"/>
  <c r="G47" i="2"/>
  <c r="H47" i="2"/>
  <c r="I47" i="2"/>
  <c r="J47" i="2"/>
  <c r="K47" i="2"/>
  <c r="L47" i="2"/>
  <c r="M47" i="2"/>
  <c r="B48" i="2"/>
  <c r="O48" i="2"/>
  <c r="C48" i="2"/>
  <c r="D48" i="2"/>
  <c r="E48" i="2"/>
  <c r="F48" i="2"/>
  <c r="G48" i="2"/>
  <c r="H48" i="2"/>
  <c r="I48" i="2"/>
  <c r="J48" i="2"/>
  <c r="K48" i="2"/>
  <c r="L48" i="2"/>
  <c r="M48" i="2"/>
  <c r="O51" i="2"/>
  <c r="B51" i="2"/>
  <c r="C51" i="2"/>
  <c r="D51" i="2"/>
  <c r="E51" i="2"/>
  <c r="F51" i="2"/>
  <c r="G51" i="2"/>
  <c r="H51" i="2"/>
  <c r="I51" i="2"/>
  <c r="J51" i="2"/>
  <c r="K51" i="2"/>
  <c r="L51" i="2"/>
  <c r="M51" i="2"/>
  <c r="O46" i="2"/>
  <c r="B46" i="2"/>
  <c r="C46" i="2"/>
  <c r="D46" i="2"/>
  <c r="E46" i="2"/>
  <c r="F46" i="2"/>
  <c r="G46" i="2"/>
  <c r="H46" i="2"/>
  <c r="I46" i="2"/>
  <c r="J46" i="2"/>
  <c r="K46" i="2"/>
  <c r="L46" i="2"/>
  <c r="M46" i="2"/>
  <c r="B54" i="2"/>
  <c r="O54" i="2"/>
  <c r="C54" i="2"/>
  <c r="D54" i="2"/>
  <c r="E54" i="2"/>
  <c r="F54" i="2"/>
  <c r="G54" i="2"/>
  <c r="H54" i="2"/>
  <c r="I54" i="2"/>
  <c r="J54" i="2"/>
  <c r="K54" i="2"/>
  <c r="L54" i="2"/>
  <c r="M54" i="2"/>
  <c r="C61" i="2" l="1"/>
  <c r="D60" i="2"/>
  <c r="D59" i="2"/>
  <c r="G60" i="2"/>
  <c r="G59" i="2"/>
  <c r="J60" i="2"/>
  <c r="V47" i="2" s="1"/>
  <c r="J59" i="2"/>
  <c r="V46" i="2" s="1"/>
  <c r="J61" i="2"/>
  <c r="V48" i="2" s="1"/>
  <c r="F61" i="2"/>
  <c r="B61" i="2"/>
  <c r="W49" i="2"/>
  <c r="X49" i="2"/>
  <c r="Y49" i="2"/>
  <c r="L60" i="2"/>
  <c r="L59" i="2"/>
  <c r="H60" i="2"/>
  <c r="H59" i="2"/>
  <c r="K60" i="2"/>
  <c r="K59" i="2"/>
  <c r="C60" i="2"/>
  <c r="C59" i="2"/>
  <c r="O45" i="2"/>
  <c r="O58" i="2" s="1"/>
  <c r="B45" i="2"/>
  <c r="B58" i="2" s="1"/>
  <c r="C45" i="2"/>
  <c r="C58" i="2" s="1"/>
  <c r="D45" i="2"/>
  <c r="D58" i="2" s="1"/>
  <c r="E45" i="2"/>
  <c r="E58" i="2" s="1"/>
  <c r="F45" i="2"/>
  <c r="F58" i="2" s="1"/>
  <c r="G45" i="2"/>
  <c r="G58" i="2" s="1"/>
  <c r="H45" i="2"/>
  <c r="H58" i="2" s="1"/>
  <c r="I45" i="2"/>
  <c r="I58" i="2" s="1"/>
  <c r="J45" i="2"/>
  <c r="J58" i="2" s="1"/>
  <c r="V45" i="2" s="1"/>
  <c r="K45" i="2"/>
  <c r="K58" i="2" s="1"/>
  <c r="L45" i="2"/>
  <c r="L58" i="2" s="1"/>
  <c r="M45" i="2"/>
  <c r="M58" i="2" s="1"/>
  <c r="F60" i="2"/>
  <c r="F59" i="2"/>
  <c r="O60" i="2"/>
  <c r="O59" i="2"/>
  <c r="M60" i="2"/>
  <c r="M59" i="2"/>
  <c r="I60" i="2"/>
  <c r="I59" i="2"/>
  <c r="E60" i="2"/>
  <c r="E59" i="2"/>
  <c r="B60" i="2"/>
  <c r="B59" i="2"/>
  <c r="M61" i="2"/>
  <c r="I61" i="2"/>
  <c r="E61" i="2"/>
  <c r="O61" i="2"/>
  <c r="Y48" i="2" l="1"/>
  <c r="X48" i="2"/>
  <c r="W48" i="2"/>
  <c r="Y45" i="2"/>
  <c r="X45" i="2"/>
  <c r="W45" i="2"/>
  <c r="Y46" i="2"/>
  <c r="W46" i="2"/>
  <c r="X46" i="2"/>
  <c r="W47" i="2"/>
  <c r="Y47" i="2"/>
  <c r="X47" i="2"/>
</calcChain>
</file>

<file path=xl/sharedStrings.xml><?xml version="1.0" encoding="utf-8"?>
<sst xmlns="http://schemas.openxmlformats.org/spreadsheetml/2006/main" count="131" uniqueCount="59">
  <si>
    <t>FA2013</t>
  </si>
  <si>
    <t>FA2014</t>
  </si>
  <si>
    <t>FA2015</t>
  </si>
  <si>
    <t>FA2016</t>
  </si>
  <si>
    <t>FA2017</t>
  </si>
  <si>
    <t>FA2018</t>
  </si>
  <si>
    <t>FA2019</t>
  </si>
  <si>
    <t>FA2020</t>
  </si>
  <si>
    <t>FA2021</t>
  </si>
  <si>
    <t>FA2022</t>
  </si>
  <si>
    <t>FA2023</t>
  </si>
  <si>
    <t>May 1st</t>
  </si>
  <si>
    <t>Deposits at each Checkpoint</t>
  </si>
  <si>
    <t>Avg</t>
  </si>
  <si>
    <t>Avg 2015+</t>
  </si>
  <si>
    <t>Avg 15-19</t>
  </si>
  <si>
    <t>Avg 2020+</t>
  </si>
  <si>
    <t>Feb 1st</t>
  </si>
  <si>
    <t>Mar 1st</t>
  </si>
  <si>
    <t>Apr 1st</t>
  </si>
  <si>
    <t>Jun 1st</t>
  </si>
  <si>
    <t>Jul 1st</t>
  </si>
  <si>
    <t>Aug 1st</t>
  </si>
  <si>
    <t xml:space="preserve">Sept+ </t>
  </si>
  <si>
    <t>Dep. at each Checkpoint - Running Total</t>
  </si>
  <si>
    <t>Dep. at each Checkpoint - Running %</t>
  </si>
  <si>
    <t>Melted</t>
  </si>
  <si>
    <t>Melt rate</t>
  </si>
  <si>
    <t>Cohort</t>
  </si>
  <si>
    <t>Deposit Melt Analysis - Basic</t>
  </si>
  <si>
    <t>Jan 1st</t>
  </si>
  <si>
    <t>Dec 1st</t>
  </si>
  <si>
    <t>Nov 1st</t>
  </si>
  <si>
    <t>Oct 1st</t>
  </si>
  <si>
    <t>Sep 1st</t>
  </si>
  <si>
    <t>Pre 1yr</t>
  </si>
  <si>
    <t>Total</t>
  </si>
  <si>
    <t>Term</t>
  </si>
  <si>
    <t>Cohort size Forecast</t>
  </si>
  <si>
    <t>*Cohort forecast made using 2 steps. 
1) calculating final deposit count based on current deposit count and average % of final total at this checkpoint
2) using those predicted final deposit counts and a regression of deposit totals vs melt rate</t>
  </si>
  <si>
    <t>Regr.</t>
  </si>
  <si>
    <t>Reg. +5%</t>
  </si>
  <si>
    <t>Reg. -3%</t>
  </si>
  <si>
    <t>Final Deposit # and Cohort Forecast</t>
  </si>
  <si>
    <t>Melt Rate</t>
  </si>
  <si>
    <t>*Linear Trendline/Regression not best fit, but close enough Correlation Coefficient to not worry</t>
  </si>
  <si>
    <t>** Testing of linear vs polynomial melt rate and cohort forecasting ended within 0.2% melt and 1 deposit</t>
  </si>
  <si>
    <t>FA2024</t>
  </si>
  <si>
    <t>Fall 2024 Start</t>
  </si>
  <si>
    <t>Forecasts for Fall 2024 Cohort - April 1st Checkpoint</t>
  </si>
  <si>
    <t>FA2025</t>
  </si>
  <si>
    <t>A method for forecasting total deposits and final cohort throughout an academic year for the next future year based on current deposits and historical performance.</t>
  </si>
  <si>
    <t>Avg 2016+</t>
  </si>
  <si>
    <t>Avg 16-19</t>
  </si>
  <si>
    <t>Above Avg 2-3%</t>
  </si>
  <si>
    <t>Below Avg 2020+ 2-3%</t>
  </si>
  <si>
    <t>Can use tools to calculate this, like Slate, and update the data in this, or can use SQL to calculate these and just copy/paste the text output</t>
  </si>
  <si>
    <t>-Robert Cilino</t>
  </si>
  <si>
    <t>*Fictionalized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</si>
</sst>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1" fontId="0" fillId="0" borderId="0" xfId="1" applyNumberFormat="1" applyFont="1" applyAlignment="1">
      <alignment horizontal="center"/>
    </xf>
    <xf numFmtId="0" fontId="4" fillId="0" borderId="0" xfId="0" applyFont="1"/>
    <xf numFmtId="1" fontId="0" fillId="0" borderId="0" xfId="0" applyNumberFormat="1"/>
    <xf numFmtId="0" fontId="4" fillId="0" borderId="0" xfId="0" applyFont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0" xfId="0" applyAlignment="1">
      <alignment horizontal="left" wrapText="1"/>
    </xf>
    <xf numFmtId="49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C423"/>
      <color rgb="FF0058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Deposit</a:t>
            </a:r>
            <a:r>
              <a:rPr lang="en-US" baseline="0"/>
              <a:t> Totals vs </a:t>
            </a:r>
            <a:r>
              <a:rPr lang="en-US"/>
              <a:t>Melt Rate</a:t>
            </a:r>
          </a:p>
        </c:rich>
      </c:tx>
      <c:overlay val="0"/>
      <c:spPr>
        <a:noFill/>
        <a:ln>
          <a:solidFill>
            <a:schemeClr val="bg2"/>
          </a:solidFill>
        </a:ln>
        <a:effectLst>
          <a:outerShdw blurRad="50800" dist="38100" dir="2700000" algn="ctr" rotWithShape="0">
            <a:schemeClr val="bg1">
              <a:lumMod val="50000"/>
              <a:alpha val="40000"/>
            </a:scheme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583D"/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11"/>
            <c:marker>
              <c:symbol val="circle"/>
              <c:size val="5"/>
              <c:spPr>
                <a:solidFill>
                  <a:srgbClr val="FFC423"/>
                </a:solidFill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CBA-4D4D-9561-085D1C6AFEBB}"/>
              </c:ext>
            </c:extLst>
          </c:dPt>
          <c:dLbls>
            <c:dLbl>
              <c:idx val="11"/>
              <c:layout>
                <c:manualLayout>
                  <c:x val="-2.6936026936026937E-3"/>
                  <c:y val="-8.472689708543687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FA2024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CBA-4D4D-9561-085D1C6AFEBB}"/>
                </c:ext>
              </c:extLst>
            </c:dLbl>
            <c:spPr>
              <a:solidFill>
                <a:schemeClr val="bg1"/>
              </a:solidFill>
              <a:ln>
                <a:solidFill>
                  <a:srgbClr val="00583D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843951324266284E-2"/>
                  <c:y val="-6.8891780613165712E-2"/>
                </c:manualLayout>
              </c:layout>
              <c:numFmt formatCode="#,##0.00000" sourceLinked="0"/>
              <c:spPr>
                <a:solidFill>
                  <a:schemeClr val="bg1">
                    <a:alpha val="75000"/>
                  </a:schemeClr>
                </a:solidFill>
                <a:ln>
                  <a:solidFill>
                    <a:srgbClr val="00583D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Deposits!$S$9:$S$20</c:f>
              <c:numCache>
                <c:formatCode>0</c:formatCode>
                <c:ptCount val="12"/>
                <c:pt idx="0">
                  <c:v>354</c:v>
                </c:pt>
                <c:pt idx="1">
                  <c:v>318</c:v>
                </c:pt>
                <c:pt idx="2">
                  <c:v>336</c:v>
                </c:pt>
                <c:pt idx="3">
                  <c:v>526</c:v>
                </c:pt>
                <c:pt idx="4">
                  <c:v>568</c:v>
                </c:pt>
                <c:pt idx="5">
                  <c:v>537</c:v>
                </c:pt>
                <c:pt idx="6">
                  <c:v>495</c:v>
                </c:pt>
                <c:pt idx="7">
                  <c:v>423</c:v>
                </c:pt>
                <c:pt idx="8">
                  <c:v>473</c:v>
                </c:pt>
                <c:pt idx="9">
                  <c:v>362</c:v>
                </c:pt>
                <c:pt idx="10">
                  <c:v>308</c:v>
                </c:pt>
                <c:pt idx="11">
                  <c:v>320</c:v>
                </c:pt>
              </c:numCache>
            </c:numRef>
          </c:xVal>
          <c:yVal>
            <c:numRef>
              <c:f>Deposits!$V$9:$V$20</c:f>
              <c:numCache>
                <c:formatCode>0.0%</c:formatCode>
                <c:ptCount val="12"/>
                <c:pt idx="0">
                  <c:v>0.161</c:v>
                </c:pt>
                <c:pt idx="1">
                  <c:v>0.1434</c:v>
                </c:pt>
                <c:pt idx="2">
                  <c:v>0.1893</c:v>
                </c:pt>
                <c:pt idx="3">
                  <c:v>0.222</c:v>
                </c:pt>
                <c:pt idx="4">
                  <c:v>0.2596</c:v>
                </c:pt>
                <c:pt idx="5">
                  <c:v>0.23699999999999999</c:v>
                </c:pt>
                <c:pt idx="6">
                  <c:v>0.2162</c:v>
                </c:pt>
                <c:pt idx="7">
                  <c:v>0.20269999999999999</c:v>
                </c:pt>
                <c:pt idx="8">
                  <c:v>0.2462</c:v>
                </c:pt>
                <c:pt idx="9">
                  <c:v>0.26050000000000001</c:v>
                </c:pt>
                <c:pt idx="10">
                  <c:v>0.18529999999999999</c:v>
                </c:pt>
                <c:pt idx="11">
                  <c:v>0.19370000000000001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8A-4571-8803-7B1FE900E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311535"/>
        <c:axId val="1468312015"/>
      </c:scatterChart>
      <c:valAx>
        <c:axId val="1468311535"/>
        <c:scaling>
          <c:orientation val="minMax"/>
          <c:max val="6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Deposit Total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312015"/>
        <c:crosses val="autoZero"/>
        <c:crossBetween val="midCat"/>
      </c:valAx>
      <c:valAx>
        <c:axId val="1468312015"/>
        <c:scaling>
          <c:orientation val="minMax"/>
          <c:max val="0.30000000000000004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Melt Rate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31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</xdr:colOff>
      <xdr:row>23</xdr:row>
      <xdr:rowOff>9525</xdr:rowOff>
    </xdr:from>
    <xdr:to>
      <xdr:col>26</xdr:col>
      <xdr:colOff>152400</xdr:colOff>
      <xdr:row>37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45651E-3841-4E15-99AA-8B57FA1CE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21CE-6611-4202-ACF0-892E31483CC9}">
  <dimension ref="A1:AM78"/>
  <sheetViews>
    <sheetView tabSelected="1" workbookViewId="0"/>
  </sheetViews>
  <sheetFormatPr defaultRowHeight="15" x14ac:dyDescent="0.25"/>
  <cols>
    <col min="1" max="1" width="9.7109375" bestFit="1" customWidth="1"/>
    <col min="2" max="15" width="7.42578125" customWidth="1"/>
    <col min="16" max="17" width="3" customWidth="1"/>
    <col min="19" max="32" width="7.42578125" customWidth="1"/>
  </cols>
  <sheetData>
    <row r="1" spans="1:25" x14ac:dyDescent="0.25">
      <c r="A1" s="6" t="s">
        <v>51</v>
      </c>
    </row>
    <row r="2" spans="1:25" x14ac:dyDescent="0.25">
      <c r="A2" s="6" t="s">
        <v>56</v>
      </c>
    </row>
    <row r="3" spans="1:25" x14ac:dyDescent="0.25">
      <c r="A3" s="31" t="s">
        <v>57</v>
      </c>
    </row>
    <row r="4" spans="1:25" x14ac:dyDescent="0.25">
      <c r="A4" s="6" t="s">
        <v>58</v>
      </c>
    </row>
    <row r="5" spans="1:25" x14ac:dyDescent="0.25">
      <c r="A5" s="6"/>
    </row>
    <row r="6" spans="1:25" ht="15" customHeight="1" x14ac:dyDescent="0.25">
      <c r="A6" s="22" t="s">
        <v>12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R6" s="21" t="s">
        <v>29</v>
      </c>
      <c r="S6" s="21"/>
      <c r="T6" s="21"/>
      <c r="U6" s="21"/>
      <c r="V6" s="21"/>
      <c r="W6" s="21"/>
    </row>
    <row r="7" spans="1:25" ht="15" customHeight="1" x14ac:dyDescent="0.25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R7" s="21"/>
      <c r="S7" s="21"/>
      <c r="T7" s="21"/>
      <c r="U7" s="21"/>
      <c r="V7" s="21"/>
      <c r="W7" s="21"/>
    </row>
    <row r="8" spans="1:25" x14ac:dyDescent="0.25">
      <c r="B8" s="6" t="s">
        <v>35</v>
      </c>
      <c r="C8" s="6" t="s">
        <v>34</v>
      </c>
      <c r="D8" s="6" t="s">
        <v>33</v>
      </c>
      <c r="E8" s="6" t="s">
        <v>32</v>
      </c>
      <c r="F8" s="6" t="s">
        <v>31</v>
      </c>
      <c r="G8" s="6" t="s">
        <v>30</v>
      </c>
      <c r="H8" s="6" t="s">
        <v>17</v>
      </c>
      <c r="I8" s="6" t="s">
        <v>18</v>
      </c>
      <c r="J8" s="6" t="s">
        <v>19</v>
      </c>
      <c r="K8" s="6" t="s">
        <v>11</v>
      </c>
      <c r="L8" s="6" t="s">
        <v>20</v>
      </c>
      <c r="M8" s="6" t="s">
        <v>21</v>
      </c>
      <c r="N8" s="6" t="s">
        <v>22</v>
      </c>
      <c r="O8" s="6" t="s">
        <v>23</v>
      </c>
      <c r="R8" t="s">
        <v>37</v>
      </c>
      <c r="S8" t="s">
        <v>36</v>
      </c>
      <c r="T8" t="s">
        <v>26</v>
      </c>
      <c r="U8" t="s">
        <v>28</v>
      </c>
      <c r="V8" t="s">
        <v>27</v>
      </c>
    </row>
    <row r="9" spans="1:25" x14ac:dyDescent="0.25">
      <c r="A9" s="6" t="s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11</v>
      </c>
      <c r="H9" s="1">
        <v>37</v>
      </c>
      <c r="I9" s="1">
        <v>52</v>
      </c>
      <c r="J9" s="1">
        <v>92</v>
      </c>
      <c r="K9" s="1">
        <v>87</v>
      </c>
      <c r="L9" s="1">
        <v>55</v>
      </c>
      <c r="M9" s="1">
        <v>13</v>
      </c>
      <c r="N9" s="1">
        <v>9</v>
      </c>
      <c r="O9" s="1">
        <v>11</v>
      </c>
      <c r="R9" s="6" t="s">
        <v>0</v>
      </c>
      <c r="S9" s="9">
        <v>354</v>
      </c>
      <c r="T9" s="9">
        <v>56.994</v>
      </c>
      <c r="U9" s="9">
        <v>297.00599999999997</v>
      </c>
      <c r="V9" s="3">
        <v>0.161</v>
      </c>
      <c r="Y9" s="20"/>
    </row>
    <row r="10" spans="1:25" x14ac:dyDescent="0.25">
      <c r="A10" s="6" t="s">
        <v>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27</v>
      </c>
      <c r="I10" s="1">
        <v>87</v>
      </c>
      <c r="J10" s="1">
        <v>50</v>
      </c>
      <c r="K10" s="1">
        <v>85</v>
      </c>
      <c r="L10" s="1">
        <v>55</v>
      </c>
      <c r="M10" s="1">
        <v>21</v>
      </c>
      <c r="N10" s="1">
        <v>21</v>
      </c>
      <c r="O10" s="1">
        <v>10</v>
      </c>
      <c r="R10" s="6" t="s">
        <v>1</v>
      </c>
      <c r="S10" s="9">
        <v>318</v>
      </c>
      <c r="T10" s="9">
        <v>45.601199999999999</v>
      </c>
      <c r="U10" s="9">
        <v>272.39879999999999</v>
      </c>
      <c r="V10" s="3">
        <v>0.1434</v>
      </c>
      <c r="Y10" s="20"/>
    </row>
    <row r="11" spans="1:25" x14ac:dyDescent="0.25">
      <c r="A11" s="6" t="s">
        <v>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6</v>
      </c>
      <c r="H11" s="1">
        <v>21</v>
      </c>
      <c r="I11" s="1">
        <v>72</v>
      </c>
      <c r="J11" s="1">
        <v>44</v>
      </c>
      <c r="K11" s="1">
        <v>88</v>
      </c>
      <c r="L11" s="1">
        <v>61</v>
      </c>
      <c r="M11" s="1">
        <v>35</v>
      </c>
      <c r="N11" s="1">
        <v>19</v>
      </c>
      <c r="O11" s="1">
        <v>10</v>
      </c>
      <c r="R11" s="6" t="s">
        <v>2</v>
      </c>
      <c r="S11" s="9">
        <v>336</v>
      </c>
      <c r="T11" s="9">
        <v>63.604799999999997</v>
      </c>
      <c r="U11" s="9">
        <v>272.39519999999999</v>
      </c>
      <c r="V11" s="3">
        <v>0.1893</v>
      </c>
      <c r="Y11" s="20"/>
    </row>
    <row r="12" spans="1:25" x14ac:dyDescent="0.25">
      <c r="A12" s="6" t="s">
        <v>3</v>
      </c>
      <c r="B12" s="1">
        <v>1</v>
      </c>
      <c r="C12" s="1">
        <v>0</v>
      </c>
      <c r="D12" s="1">
        <v>0</v>
      </c>
      <c r="E12" s="1">
        <v>5</v>
      </c>
      <c r="F12" s="1">
        <v>41</v>
      </c>
      <c r="G12" s="1">
        <v>56</v>
      </c>
      <c r="H12" s="1">
        <v>33</v>
      </c>
      <c r="I12" s="1">
        <v>30</v>
      </c>
      <c r="J12" s="1">
        <v>64</v>
      </c>
      <c r="K12" s="1">
        <v>150</v>
      </c>
      <c r="L12" s="1">
        <v>73</v>
      </c>
      <c r="M12" s="1">
        <v>33</v>
      </c>
      <c r="N12" s="1">
        <v>7</v>
      </c>
      <c r="O12" s="1">
        <v>6</v>
      </c>
      <c r="R12" s="6" t="s">
        <v>3</v>
      </c>
      <c r="S12" s="9">
        <v>526</v>
      </c>
      <c r="T12" s="9">
        <v>116.77200000000001</v>
      </c>
      <c r="U12" s="9">
        <v>409.22800000000001</v>
      </c>
      <c r="V12" s="3">
        <v>0.222</v>
      </c>
      <c r="Y12" s="20"/>
    </row>
    <row r="13" spans="1:25" x14ac:dyDescent="0.25">
      <c r="A13" s="6" t="s">
        <v>4</v>
      </c>
      <c r="B13" s="1">
        <v>0</v>
      </c>
      <c r="C13" s="1">
        <v>2</v>
      </c>
      <c r="D13" s="1">
        <v>12</v>
      </c>
      <c r="E13" s="1">
        <v>23</v>
      </c>
      <c r="F13" s="1">
        <v>78</v>
      </c>
      <c r="G13" s="1">
        <v>30</v>
      </c>
      <c r="H13" s="1">
        <v>41</v>
      </c>
      <c r="I13" s="1">
        <v>51</v>
      </c>
      <c r="J13" s="1">
        <v>68</v>
      </c>
      <c r="K13" s="1">
        <v>206</v>
      </c>
      <c r="L13" s="1">
        <v>81</v>
      </c>
      <c r="M13" s="1">
        <v>21</v>
      </c>
      <c r="N13" s="1">
        <v>14</v>
      </c>
      <c r="O13" s="1">
        <v>10</v>
      </c>
      <c r="R13" s="6" t="s">
        <v>4</v>
      </c>
      <c r="S13" s="9">
        <v>568</v>
      </c>
      <c r="T13" s="9">
        <v>147.4528</v>
      </c>
      <c r="U13" s="9">
        <v>420.54719999999998</v>
      </c>
      <c r="V13" s="3">
        <v>0.2596</v>
      </c>
      <c r="Y13" s="20"/>
    </row>
    <row r="14" spans="1:25" x14ac:dyDescent="0.25">
      <c r="A14" s="6" t="s">
        <v>5</v>
      </c>
      <c r="B14" s="1">
        <v>1</v>
      </c>
      <c r="C14" s="1">
        <v>0</v>
      </c>
      <c r="D14" s="1">
        <v>10</v>
      </c>
      <c r="E14" s="1">
        <v>37</v>
      </c>
      <c r="F14" s="1">
        <v>79</v>
      </c>
      <c r="G14" s="1">
        <v>29</v>
      </c>
      <c r="H14" s="1">
        <v>19</v>
      </c>
      <c r="I14" s="1">
        <v>40</v>
      </c>
      <c r="J14" s="1">
        <v>86</v>
      </c>
      <c r="K14" s="1">
        <v>186</v>
      </c>
      <c r="L14" s="1">
        <v>80</v>
      </c>
      <c r="M14" s="1">
        <v>17</v>
      </c>
      <c r="N14" s="1">
        <v>9</v>
      </c>
      <c r="O14" s="1">
        <v>1</v>
      </c>
      <c r="R14" s="6" t="s">
        <v>5</v>
      </c>
      <c r="S14" s="9">
        <v>537</v>
      </c>
      <c r="T14" s="9">
        <v>127.26899999999999</v>
      </c>
      <c r="U14" s="9">
        <v>409.73099999999999</v>
      </c>
      <c r="V14" s="3">
        <v>0.23699999999999999</v>
      </c>
      <c r="Y14" s="20"/>
    </row>
    <row r="15" spans="1:25" x14ac:dyDescent="0.25">
      <c r="A15" s="6" t="s">
        <v>6</v>
      </c>
      <c r="B15" s="1">
        <v>4</v>
      </c>
      <c r="C15" s="1">
        <v>2</v>
      </c>
      <c r="D15" s="1">
        <v>15</v>
      </c>
      <c r="E15" s="1">
        <v>19</v>
      </c>
      <c r="F15" s="1">
        <v>74</v>
      </c>
      <c r="G15" s="1">
        <v>41</v>
      </c>
      <c r="H15" s="1">
        <v>57</v>
      </c>
      <c r="I15" s="1">
        <v>36</v>
      </c>
      <c r="J15" s="1">
        <v>56</v>
      </c>
      <c r="K15" s="1">
        <v>144</v>
      </c>
      <c r="L15" s="1">
        <v>53</v>
      </c>
      <c r="M15" s="1">
        <v>17</v>
      </c>
      <c r="N15" s="1">
        <v>10</v>
      </c>
      <c r="O15" s="1">
        <v>1</v>
      </c>
      <c r="R15" s="6" t="s">
        <v>6</v>
      </c>
      <c r="S15" s="9">
        <v>495</v>
      </c>
      <c r="T15" s="9">
        <v>107.01900000000001</v>
      </c>
      <c r="U15" s="9">
        <v>387.98099999999999</v>
      </c>
      <c r="V15" s="3">
        <v>0.2162</v>
      </c>
      <c r="Y15" s="20"/>
    </row>
    <row r="16" spans="1:25" x14ac:dyDescent="0.25">
      <c r="A16" s="6" t="s">
        <v>7</v>
      </c>
      <c r="B16" s="1">
        <v>0</v>
      </c>
      <c r="C16" s="1">
        <v>0</v>
      </c>
      <c r="D16" s="1">
        <v>0</v>
      </c>
      <c r="E16" s="1">
        <v>15</v>
      </c>
      <c r="F16" s="1">
        <v>29</v>
      </c>
      <c r="G16" s="1">
        <v>50</v>
      </c>
      <c r="H16" s="1">
        <v>54</v>
      </c>
      <c r="I16" s="1">
        <v>45</v>
      </c>
      <c r="J16" s="1">
        <v>75</v>
      </c>
      <c r="K16" s="1">
        <v>114</v>
      </c>
      <c r="L16" s="1">
        <v>51</v>
      </c>
      <c r="M16" s="1">
        <v>16</v>
      </c>
      <c r="N16" s="1">
        <v>9</v>
      </c>
      <c r="O16" s="1">
        <v>4</v>
      </c>
      <c r="R16" s="6" t="s">
        <v>7</v>
      </c>
      <c r="S16" s="9">
        <v>423</v>
      </c>
      <c r="T16" s="9">
        <v>85.742099999999994</v>
      </c>
      <c r="U16" s="9">
        <v>337.25790000000001</v>
      </c>
      <c r="V16" s="3">
        <v>0.20269999999999999</v>
      </c>
      <c r="Y16" s="20"/>
    </row>
    <row r="17" spans="1:25" x14ac:dyDescent="0.25">
      <c r="A17" s="6" t="s">
        <v>8</v>
      </c>
      <c r="B17" s="1">
        <v>1</v>
      </c>
      <c r="C17" s="1">
        <v>0</v>
      </c>
      <c r="D17" s="1">
        <v>6</v>
      </c>
      <c r="E17" s="1">
        <v>29</v>
      </c>
      <c r="F17" s="1">
        <v>34</v>
      </c>
      <c r="G17" s="1">
        <v>46</v>
      </c>
      <c r="H17" s="1">
        <v>58</v>
      </c>
      <c r="I17" s="1">
        <v>45</v>
      </c>
      <c r="J17" s="1">
        <v>81</v>
      </c>
      <c r="K17" s="1">
        <v>114</v>
      </c>
      <c r="L17" s="1">
        <v>52</v>
      </c>
      <c r="M17" s="1">
        <v>19</v>
      </c>
      <c r="N17" s="1">
        <v>12</v>
      </c>
      <c r="O17" s="1">
        <v>4</v>
      </c>
      <c r="R17" s="6" t="s">
        <v>8</v>
      </c>
      <c r="S17" s="9">
        <v>473</v>
      </c>
      <c r="T17" s="9">
        <v>116.4526</v>
      </c>
      <c r="U17" s="9">
        <v>356.54739999999998</v>
      </c>
      <c r="V17" s="3">
        <v>0.2462</v>
      </c>
      <c r="Y17" s="20"/>
    </row>
    <row r="18" spans="1:25" x14ac:dyDescent="0.25">
      <c r="A18" s="6" t="s">
        <v>9</v>
      </c>
      <c r="B18" s="1">
        <v>6</v>
      </c>
      <c r="C18" s="1">
        <v>0</v>
      </c>
      <c r="D18" s="1">
        <v>5</v>
      </c>
      <c r="E18" s="1">
        <v>14</v>
      </c>
      <c r="F18" s="1">
        <v>40</v>
      </c>
      <c r="G18" s="1">
        <v>20</v>
      </c>
      <c r="H18" s="1">
        <v>27</v>
      </c>
      <c r="I18" s="1">
        <v>41</v>
      </c>
      <c r="J18" s="1">
        <v>86</v>
      </c>
      <c r="K18" s="1">
        <v>87</v>
      </c>
      <c r="L18" s="1">
        <v>24</v>
      </c>
      <c r="M18" s="1">
        <v>27</v>
      </c>
      <c r="N18" s="1">
        <v>9</v>
      </c>
      <c r="O18" s="1">
        <v>6</v>
      </c>
      <c r="R18" s="6" t="s">
        <v>9</v>
      </c>
      <c r="S18" s="9">
        <v>362</v>
      </c>
      <c r="T18" s="9">
        <v>94.301000000000002</v>
      </c>
      <c r="U18" s="9">
        <v>267.69900000000001</v>
      </c>
      <c r="V18" s="3">
        <v>0.26050000000000001</v>
      </c>
      <c r="Y18" s="20"/>
    </row>
    <row r="19" spans="1:25" x14ac:dyDescent="0.25">
      <c r="A19" s="6" t="s">
        <v>10</v>
      </c>
      <c r="B19" s="1">
        <v>1</v>
      </c>
      <c r="C19" s="1">
        <v>1</v>
      </c>
      <c r="D19" s="1">
        <v>12</v>
      </c>
      <c r="E19" s="1">
        <v>14</v>
      </c>
      <c r="F19" s="1">
        <v>36</v>
      </c>
      <c r="G19" s="1">
        <v>32</v>
      </c>
      <c r="H19" s="1">
        <v>32</v>
      </c>
      <c r="I19" s="1">
        <v>20</v>
      </c>
      <c r="J19" s="1">
        <v>33</v>
      </c>
      <c r="K19" s="1">
        <v>64</v>
      </c>
      <c r="L19" s="1">
        <v>51</v>
      </c>
      <c r="M19" s="1">
        <v>13</v>
      </c>
      <c r="N19" s="1">
        <v>8</v>
      </c>
      <c r="O19" s="1">
        <v>8</v>
      </c>
      <c r="R19" s="6" t="s">
        <v>10</v>
      </c>
      <c r="S19" s="9">
        <v>308</v>
      </c>
      <c r="T19" s="9">
        <v>57.072399999999995</v>
      </c>
      <c r="U19" s="9">
        <v>250.92760000000001</v>
      </c>
      <c r="V19" s="3">
        <v>0.18529999999999999</v>
      </c>
      <c r="Y19" s="20"/>
    </row>
    <row r="20" spans="1:25" x14ac:dyDescent="0.25">
      <c r="A20" s="6" t="s">
        <v>47</v>
      </c>
      <c r="B20" s="1">
        <v>0</v>
      </c>
      <c r="C20" s="1">
        <v>1</v>
      </c>
      <c r="D20" s="1">
        <v>5</v>
      </c>
      <c r="E20" s="1">
        <v>23</v>
      </c>
      <c r="F20" s="1">
        <v>33</v>
      </c>
      <c r="G20" s="1">
        <v>17</v>
      </c>
      <c r="H20" s="1">
        <v>47</v>
      </c>
      <c r="I20" s="1">
        <v>43</v>
      </c>
      <c r="J20" s="1">
        <v>37</v>
      </c>
      <c r="K20" s="1">
        <v>99</v>
      </c>
      <c r="L20" s="1">
        <v>28</v>
      </c>
      <c r="M20" s="1">
        <v>11</v>
      </c>
      <c r="N20" s="1">
        <v>13</v>
      </c>
      <c r="O20" s="1">
        <v>5</v>
      </c>
      <c r="R20" s="6" t="s">
        <v>47</v>
      </c>
      <c r="S20" s="9">
        <v>320</v>
      </c>
      <c r="T20" s="9">
        <v>61.984000000000002</v>
      </c>
      <c r="U20" s="9">
        <v>258.01600000000002</v>
      </c>
      <c r="V20" s="3">
        <v>0.19370000000000001</v>
      </c>
      <c r="Y20" s="20"/>
    </row>
    <row r="21" spans="1:25" x14ac:dyDescent="0.25">
      <c r="A21" s="6" t="s">
        <v>50</v>
      </c>
      <c r="B21" s="1">
        <v>0</v>
      </c>
      <c r="C21" s="1">
        <v>0</v>
      </c>
      <c r="D21" s="1">
        <v>5</v>
      </c>
      <c r="E21" s="1">
        <v>17</v>
      </c>
      <c r="F21" s="1">
        <v>25</v>
      </c>
      <c r="G21" s="1">
        <v>28</v>
      </c>
      <c r="H21" s="1">
        <v>45</v>
      </c>
      <c r="I21" s="1">
        <v>46</v>
      </c>
      <c r="J21" s="1">
        <v>35</v>
      </c>
      <c r="L21" s="1"/>
      <c r="M21" s="1"/>
      <c r="N21" s="1"/>
      <c r="O21" s="1"/>
      <c r="R21" s="6" t="s">
        <v>50</v>
      </c>
      <c r="V21" s="3"/>
    </row>
    <row r="23" spans="1:25" ht="15" customHeight="1" x14ac:dyDescent="0.25"/>
    <row r="24" spans="1:25" ht="15" customHeight="1" x14ac:dyDescent="0.25">
      <c r="A24" s="22" t="s">
        <v>24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</row>
    <row r="25" spans="1:25" ht="15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</row>
    <row r="26" spans="1:25" x14ac:dyDescent="0.25">
      <c r="B26" t="s">
        <v>35</v>
      </c>
      <c r="C26" t="s">
        <v>34</v>
      </c>
      <c r="D26" t="s">
        <v>33</v>
      </c>
      <c r="E26" t="s">
        <v>32</v>
      </c>
      <c r="F26" t="s">
        <v>31</v>
      </c>
      <c r="G26" t="s">
        <v>30</v>
      </c>
      <c r="H26" t="s">
        <v>17</v>
      </c>
      <c r="I26" t="s">
        <v>18</v>
      </c>
      <c r="J26" t="s">
        <v>19</v>
      </c>
      <c r="K26" t="s">
        <v>11</v>
      </c>
      <c r="L26" t="s">
        <v>20</v>
      </c>
      <c r="M26" t="s">
        <v>21</v>
      </c>
      <c r="N26" t="s">
        <v>22</v>
      </c>
      <c r="O26" t="s">
        <v>23</v>
      </c>
    </row>
    <row r="27" spans="1:25" x14ac:dyDescent="0.25">
      <c r="A27" s="6" t="s">
        <v>0</v>
      </c>
      <c r="B27" s="1">
        <f>B9</f>
        <v>0</v>
      </c>
      <c r="C27" s="1">
        <f>C9+B27</f>
        <v>0</v>
      </c>
      <c r="D27" s="1">
        <f t="shared" ref="D27:O27" si="0">D9+C27</f>
        <v>0</v>
      </c>
      <c r="E27" s="1">
        <f t="shared" si="0"/>
        <v>0</v>
      </c>
      <c r="F27" s="1">
        <f t="shared" si="0"/>
        <v>0</v>
      </c>
      <c r="G27" s="1">
        <f t="shared" si="0"/>
        <v>11</v>
      </c>
      <c r="H27" s="1">
        <f t="shared" si="0"/>
        <v>48</v>
      </c>
      <c r="I27" s="1">
        <f t="shared" si="0"/>
        <v>100</v>
      </c>
      <c r="J27" s="1">
        <f t="shared" si="0"/>
        <v>192</v>
      </c>
      <c r="K27" s="1">
        <f t="shared" si="0"/>
        <v>279</v>
      </c>
      <c r="L27" s="1">
        <f t="shared" si="0"/>
        <v>334</v>
      </c>
      <c r="M27" s="1">
        <f t="shared" si="0"/>
        <v>347</v>
      </c>
      <c r="N27" s="1">
        <f t="shared" si="0"/>
        <v>356</v>
      </c>
      <c r="O27" s="1">
        <f t="shared" si="0"/>
        <v>367</v>
      </c>
    </row>
    <row r="28" spans="1:25" x14ac:dyDescent="0.25">
      <c r="A28" s="6" t="s">
        <v>1</v>
      </c>
      <c r="B28" s="1">
        <v>0</v>
      </c>
      <c r="C28" s="1">
        <f t="shared" ref="C28:O28" si="1">C10+B28</f>
        <v>0</v>
      </c>
      <c r="D28" s="1">
        <f t="shared" si="1"/>
        <v>0</v>
      </c>
      <c r="E28" s="1">
        <f t="shared" si="1"/>
        <v>0</v>
      </c>
      <c r="F28" s="1">
        <f t="shared" si="1"/>
        <v>0</v>
      </c>
      <c r="G28" s="1">
        <f t="shared" si="1"/>
        <v>0</v>
      </c>
      <c r="H28" s="1">
        <f t="shared" si="1"/>
        <v>27</v>
      </c>
      <c r="I28" s="1">
        <f t="shared" si="1"/>
        <v>114</v>
      </c>
      <c r="J28" s="1">
        <f t="shared" si="1"/>
        <v>164</v>
      </c>
      <c r="K28" s="1">
        <f t="shared" si="1"/>
        <v>249</v>
      </c>
      <c r="L28" s="1">
        <f t="shared" si="1"/>
        <v>304</v>
      </c>
      <c r="M28" s="1">
        <f t="shared" si="1"/>
        <v>325</v>
      </c>
      <c r="N28" s="1">
        <f t="shared" si="1"/>
        <v>346</v>
      </c>
      <c r="O28" s="1">
        <f t="shared" si="1"/>
        <v>356</v>
      </c>
    </row>
    <row r="29" spans="1:25" x14ac:dyDescent="0.25">
      <c r="A29" s="6" t="s">
        <v>2</v>
      </c>
      <c r="B29" s="1">
        <v>0</v>
      </c>
      <c r="C29" s="1">
        <f t="shared" ref="C29:O29" si="2">C11+B29</f>
        <v>0</v>
      </c>
      <c r="D29" s="1">
        <f t="shared" si="2"/>
        <v>0</v>
      </c>
      <c r="E29" s="1">
        <f t="shared" si="2"/>
        <v>0</v>
      </c>
      <c r="F29" s="1">
        <f t="shared" si="2"/>
        <v>0</v>
      </c>
      <c r="G29" s="1">
        <f t="shared" si="2"/>
        <v>6</v>
      </c>
      <c r="H29" s="1">
        <f t="shared" si="2"/>
        <v>27</v>
      </c>
      <c r="I29" s="1">
        <f t="shared" si="2"/>
        <v>99</v>
      </c>
      <c r="J29" s="1">
        <f t="shared" si="2"/>
        <v>143</v>
      </c>
      <c r="K29" s="1">
        <f t="shared" si="2"/>
        <v>231</v>
      </c>
      <c r="L29" s="1">
        <f t="shared" si="2"/>
        <v>292</v>
      </c>
      <c r="M29" s="1">
        <f t="shared" si="2"/>
        <v>327</v>
      </c>
      <c r="N29" s="1">
        <f t="shared" si="2"/>
        <v>346</v>
      </c>
      <c r="O29" s="1">
        <f t="shared" si="2"/>
        <v>356</v>
      </c>
    </row>
    <row r="30" spans="1:25" x14ac:dyDescent="0.25">
      <c r="A30" s="6" t="s">
        <v>3</v>
      </c>
      <c r="B30" s="1">
        <v>1</v>
      </c>
      <c r="C30" s="1">
        <f t="shared" ref="C30:O30" si="3">C12+B30</f>
        <v>1</v>
      </c>
      <c r="D30" s="1">
        <f t="shared" si="3"/>
        <v>1</v>
      </c>
      <c r="E30" s="1">
        <f t="shared" si="3"/>
        <v>6</v>
      </c>
      <c r="F30" s="1">
        <f t="shared" si="3"/>
        <v>47</v>
      </c>
      <c r="G30" s="1">
        <f t="shared" si="3"/>
        <v>103</v>
      </c>
      <c r="H30" s="1">
        <f t="shared" si="3"/>
        <v>136</v>
      </c>
      <c r="I30" s="1">
        <f t="shared" si="3"/>
        <v>166</v>
      </c>
      <c r="J30" s="1">
        <f t="shared" si="3"/>
        <v>230</v>
      </c>
      <c r="K30" s="1">
        <f t="shared" si="3"/>
        <v>380</v>
      </c>
      <c r="L30" s="1">
        <f t="shared" si="3"/>
        <v>453</v>
      </c>
      <c r="M30" s="1">
        <f t="shared" si="3"/>
        <v>486</v>
      </c>
      <c r="N30" s="1">
        <f t="shared" si="3"/>
        <v>493</v>
      </c>
      <c r="O30" s="1">
        <f t="shared" si="3"/>
        <v>499</v>
      </c>
    </row>
    <row r="31" spans="1:25" x14ac:dyDescent="0.25">
      <c r="A31" s="6" t="s">
        <v>4</v>
      </c>
      <c r="B31" s="1">
        <v>0</v>
      </c>
      <c r="C31" s="1">
        <f t="shared" ref="C31:O31" si="4">C13+B31</f>
        <v>2</v>
      </c>
      <c r="D31" s="1">
        <f t="shared" si="4"/>
        <v>14</v>
      </c>
      <c r="E31" s="1">
        <f t="shared" si="4"/>
        <v>37</v>
      </c>
      <c r="F31" s="1">
        <f t="shared" si="4"/>
        <v>115</v>
      </c>
      <c r="G31" s="1">
        <f t="shared" si="4"/>
        <v>145</v>
      </c>
      <c r="H31" s="1">
        <f t="shared" si="4"/>
        <v>186</v>
      </c>
      <c r="I31" s="1">
        <f t="shared" si="4"/>
        <v>237</v>
      </c>
      <c r="J31" s="1">
        <f t="shared" si="4"/>
        <v>305</v>
      </c>
      <c r="K31" s="1">
        <f t="shared" si="4"/>
        <v>511</v>
      </c>
      <c r="L31" s="1">
        <f t="shared" si="4"/>
        <v>592</v>
      </c>
      <c r="M31" s="1">
        <f t="shared" si="4"/>
        <v>613</v>
      </c>
      <c r="N31" s="1">
        <f t="shared" si="4"/>
        <v>627</v>
      </c>
      <c r="O31" s="1">
        <f t="shared" si="4"/>
        <v>637</v>
      </c>
    </row>
    <row r="32" spans="1:25" x14ac:dyDescent="0.25">
      <c r="A32" s="6" t="s">
        <v>5</v>
      </c>
      <c r="B32" s="1">
        <v>1</v>
      </c>
      <c r="C32" s="1">
        <f t="shared" ref="C32:O32" si="5">C14+B32</f>
        <v>1</v>
      </c>
      <c r="D32" s="1">
        <f t="shared" si="5"/>
        <v>11</v>
      </c>
      <c r="E32" s="1">
        <f t="shared" si="5"/>
        <v>48</v>
      </c>
      <c r="F32" s="1">
        <f t="shared" si="5"/>
        <v>127</v>
      </c>
      <c r="G32" s="1">
        <f t="shared" si="5"/>
        <v>156</v>
      </c>
      <c r="H32" s="1">
        <f t="shared" si="5"/>
        <v>175</v>
      </c>
      <c r="I32" s="1">
        <f t="shared" si="5"/>
        <v>215</v>
      </c>
      <c r="J32" s="1">
        <f t="shared" si="5"/>
        <v>301</v>
      </c>
      <c r="K32" s="1">
        <f t="shared" si="5"/>
        <v>487</v>
      </c>
      <c r="L32" s="1">
        <f t="shared" si="5"/>
        <v>567</v>
      </c>
      <c r="M32" s="1">
        <f t="shared" si="5"/>
        <v>584</v>
      </c>
      <c r="N32" s="1">
        <f t="shared" si="5"/>
        <v>593</v>
      </c>
      <c r="O32" s="1">
        <f t="shared" si="5"/>
        <v>594</v>
      </c>
    </row>
    <row r="33" spans="1:25" x14ac:dyDescent="0.25">
      <c r="A33" s="6" t="s">
        <v>6</v>
      </c>
      <c r="B33" s="1">
        <v>3</v>
      </c>
      <c r="C33" s="1">
        <f t="shared" ref="C33:O33" si="6">C15+B33</f>
        <v>5</v>
      </c>
      <c r="D33" s="1">
        <f t="shared" si="6"/>
        <v>20</v>
      </c>
      <c r="E33" s="1">
        <f t="shared" si="6"/>
        <v>39</v>
      </c>
      <c r="F33" s="1">
        <f t="shared" si="6"/>
        <v>113</v>
      </c>
      <c r="G33" s="1">
        <f t="shared" si="6"/>
        <v>154</v>
      </c>
      <c r="H33" s="1">
        <f t="shared" si="6"/>
        <v>211</v>
      </c>
      <c r="I33" s="1">
        <f t="shared" si="6"/>
        <v>247</v>
      </c>
      <c r="J33" s="1">
        <f t="shared" si="6"/>
        <v>303</v>
      </c>
      <c r="K33" s="1">
        <f t="shared" si="6"/>
        <v>447</v>
      </c>
      <c r="L33" s="1">
        <f t="shared" si="6"/>
        <v>500</v>
      </c>
      <c r="M33" s="1">
        <f t="shared" si="6"/>
        <v>517</v>
      </c>
      <c r="N33" s="1">
        <f t="shared" si="6"/>
        <v>527</v>
      </c>
      <c r="O33" s="1">
        <f t="shared" si="6"/>
        <v>528</v>
      </c>
    </row>
    <row r="34" spans="1:25" x14ac:dyDescent="0.25">
      <c r="A34" s="6" t="s">
        <v>7</v>
      </c>
      <c r="B34" s="1">
        <v>0</v>
      </c>
      <c r="C34" s="1">
        <f t="shared" ref="C34:O34" si="7">C16+B34</f>
        <v>0</v>
      </c>
      <c r="D34" s="1">
        <f t="shared" si="7"/>
        <v>0</v>
      </c>
      <c r="E34" s="1">
        <f t="shared" si="7"/>
        <v>15</v>
      </c>
      <c r="F34" s="1">
        <f t="shared" si="7"/>
        <v>44</v>
      </c>
      <c r="G34" s="1">
        <f t="shared" si="7"/>
        <v>94</v>
      </c>
      <c r="H34" s="1">
        <f t="shared" si="7"/>
        <v>148</v>
      </c>
      <c r="I34" s="1">
        <f t="shared" si="7"/>
        <v>193</v>
      </c>
      <c r="J34" s="1">
        <f t="shared" si="7"/>
        <v>268</v>
      </c>
      <c r="K34" s="1">
        <f t="shared" si="7"/>
        <v>382</v>
      </c>
      <c r="L34" s="1">
        <f t="shared" si="7"/>
        <v>433</v>
      </c>
      <c r="M34" s="1">
        <f t="shared" si="7"/>
        <v>449</v>
      </c>
      <c r="N34" s="1">
        <f t="shared" si="7"/>
        <v>458</v>
      </c>
      <c r="O34" s="1">
        <f t="shared" si="7"/>
        <v>462</v>
      </c>
    </row>
    <row r="35" spans="1:25" x14ac:dyDescent="0.25">
      <c r="A35" s="6" t="s">
        <v>8</v>
      </c>
      <c r="B35" s="1">
        <v>1</v>
      </c>
      <c r="C35" s="1">
        <f t="shared" ref="C35:O35" si="8">C17+B35</f>
        <v>1</v>
      </c>
      <c r="D35" s="1">
        <f t="shared" si="8"/>
        <v>7</v>
      </c>
      <c r="E35" s="1">
        <f t="shared" si="8"/>
        <v>36</v>
      </c>
      <c r="F35" s="1">
        <f t="shared" si="8"/>
        <v>70</v>
      </c>
      <c r="G35" s="1">
        <f t="shared" si="8"/>
        <v>116</v>
      </c>
      <c r="H35" s="1">
        <f t="shared" si="8"/>
        <v>174</v>
      </c>
      <c r="I35" s="1">
        <f t="shared" si="8"/>
        <v>219</v>
      </c>
      <c r="J35" s="1">
        <f t="shared" si="8"/>
        <v>300</v>
      </c>
      <c r="K35" s="1">
        <f t="shared" si="8"/>
        <v>414</v>
      </c>
      <c r="L35" s="1">
        <f t="shared" si="8"/>
        <v>466</v>
      </c>
      <c r="M35" s="1">
        <f t="shared" si="8"/>
        <v>485</v>
      </c>
      <c r="N35" s="1">
        <f t="shared" si="8"/>
        <v>497</v>
      </c>
      <c r="O35" s="1">
        <f t="shared" si="8"/>
        <v>501</v>
      </c>
    </row>
    <row r="36" spans="1:25" x14ac:dyDescent="0.25">
      <c r="A36" s="6" t="s">
        <v>9</v>
      </c>
      <c r="B36" s="1">
        <v>5</v>
      </c>
      <c r="C36" s="1">
        <f t="shared" ref="C36:O36" si="9">C18+B36</f>
        <v>5</v>
      </c>
      <c r="D36" s="1">
        <f t="shared" si="9"/>
        <v>10</v>
      </c>
      <c r="E36" s="1">
        <f t="shared" si="9"/>
        <v>24</v>
      </c>
      <c r="F36" s="1">
        <f t="shared" si="9"/>
        <v>64</v>
      </c>
      <c r="G36" s="1">
        <f t="shared" si="9"/>
        <v>84</v>
      </c>
      <c r="H36" s="1">
        <f t="shared" si="9"/>
        <v>111</v>
      </c>
      <c r="I36" s="1">
        <f t="shared" si="9"/>
        <v>152</v>
      </c>
      <c r="J36" s="1">
        <f t="shared" si="9"/>
        <v>238</v>
      </c>
      <c r="K36" s="1">
        <f t="shared" si="9"/>
        <v>325</v>
      </c>
      <c r="L36" s="1">
        <f t="shared" si="9"/>
        <v>349</v>
      </c>
      <c r="M36" s="1">
        <f t="shared" si="9"/>
        <v>376</v>
      </c>
      <c r="N36" s="1">
        <f t="shared" si="9"/>
        <v>385</v>
      </c>
      <c r="O36" s="1">
        <f t="shared" si="9"/>
        <v>391</v>
      </c>
    </row>
    <row r="37" spans="1:25" x14ac:dyDescent="0.25">
      <c r="A37" s="6" t="s">
        <v>10</v>
      </c>
      <c r="B37" s="1">
        <v>1</v>
      </c>
      <c r="C37" s="1">
        <f t="shared" ref="C37:O37" si="10">C19+B37</f>
        <v>2</v>
      </c>
      <c r="D37" s="1">
        <f t="shared" si="10"/>
        <v>14</v>
      </c>
      <c r="E37" s="1">
        <f t="shared" si="10"/>
        <v>28</v>
      </c>
      <c r="F37" s="1">
        <f t="shared" si="10"/>
        <v>64</v>
      </c>
      <c r="G37" s="1">
        <f t="shared" si="10"/>
        <v>96</v>
      </c>
      <c r="H37" s="1">
        <f t="shared" si="10"/>
        <v>128</v>
      </c>
      <c r="I37" s="1">
        <f t="shared" si="10"/>
        <v>148</v>
      </c>
      <c r="J37" s="1">
        <f t="shared" si="10"/>
        <v>181</v>
      </c>
      <c r="K37" s="1">
        <f t="shared" si="10"/>
        <v>245</v>
      </c>
      <c r="L37" s="1">
        <f t="shared" si="10"/>
        <v>296</v>
      </c>
      <c r="M37" s="1">
        <f t="shared" si="10"/>
        <v>309</v>
      </c>
      <c r="N37" s="1">
        <f t="shared" si="10"/>
        <v>317</v>
      </c>
      <c r="O37" s="1">
        <f t="shared" si="10"/>
        <v>325</v>
      </c>
    </row>
    <row r="38" spans="1:25" x14ac:dyDescent="0.25">
      <c r="A38" s="6" t="s">
        <v>47</v>
      </c>
      <c r="B38" s="1">
        <v>0</v>
      </c>
      <c r="C38" s="1">
        <f t="shared" ref="C38:O38" si="11">C20+B38</f>
        <v>1</v>
      </c>
      <c r="D38" s="1">
        <f t="shared" si="11"/>
        <v>6</v>
      </c>
      <c r="E38" s="1">
        <f t="shared" si="11"/>
        <v>29</v>
      </c>
      <c r="F38" s="1">
        <f t="shared" si="11"/>
        <v>62</v>
      </c>
      <c r="G38" s="1">
        <f t="shared" si="11"/>
        <v>79</v>
      </c>
      <c r="H38" s="1">
        <f t="shared" si="11"/>
        <v>126</v>
      </c>
      <c r="I38" s="1">
        <f t="shared" si="11"/>
        <v>169</v>
      </c>
      <c r="J38" s="1">
        <f t="shared" si="11"/>
        <v>206</v>
      </c>
      <c r="K38" s="1">
        <f t="shared" si="11"/>
        <v>305</v>
      </c>
      <c r="L38" s="1">
        <f t="shared" si="11"/>
        <v>333</v>
      </c>
      <c r="M38" s="1">
        <f t="shared" si="11"/>
        <v>344</v>
      </c>
      <c r="N38" s="1">
        <f t="shared" si="11"/>
        <v>357</v>
      </c>
      <c r="O38" s="1">
        <f t="shared" si="11"/>
        <v>362</v>
      </c>
    </row>
    <row r="39" spans="1:25" x14ac:dyDescent="0.25">
      <c r="A39" s="6" t="s">
        <v>50</v>
      </c>
      <c r="B39" s="1">
        <v>0</v>
      </c>
      <c r="C39" s="1">
        <f t="shared" ref="C39:J39" si="12">C21+B39</f>
        <v>0</v>
      </c>
      <c r="D39" s="1">
        <f t="shared" si="12"/>
        <v>5</v>
      </c>
      <c r="E39" s="1">
        <f t="shared" si="12"/>
        <v>22</v>
      </c>
      <c r="F39" s="1">
        <f t="shared" si="12"/>
        <v>47</v>
      </c>
      <c r="G39" s="1">
        <f t="shared" si="12"/>
        <v>75</v>
      </c>
      <c r="H39" s="1">
        <f t="shared" si="12"/>
        <v>120</v>
      </c>
      <c r="I39" s="1">
        <f t="shared" si="12"/>
        <v>166</v>
      </c>
      <c r="J39" s="1">
        <f t="shared" si="12"/>
        <v>201</v>
      </c>
      <c r="K39" s="1"/>
      <c r="L39" s="1"/>
      <c r="M39" s="1"/>
      <c r="N39" s="1"/>
      <c r="O39" s="1"/>
      <c r="R39" t="s">
        <v>45</v>
      </c>
    </row>
    <row r="40" spans="1:25" x14ac:dyDescent="0.25">
      <c r="A40" s="6"/>
      <c r="R40" t="s">
        <v>46</v>
      </c>
    </row>
    <row r="41" spans="1:25" ht="15" customHeight="1" x14ac:dyDescent="0.25"/>
    <row r="42" spans="1:25" ht="15" customHeight="1" x14ac:dyDescent="0.25">
      <c r="A42" s="22" t="s">
        <v>25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R42" s="28" t="s">
        <v>49</v>
      </c>
      <c r="S42" s="29"/>
      <c r="T42" s="29"/>
      <c r="U42" s="29"/>
      <c r="V42" s="29"/>
      <c r="W42" s="29"/>
      <c r="X42" s="29"/>
      <c r="Y42" s="29"/>
    </row>
    <row r="43" spans="1:25" ht="1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S43" s="23" t="s">
        <v>43</v>
      </c>
      <c r="T43" s="24"/>
      <c r="U43" s="24"/>
      <c r="V43" s="24"/>
      <c r="W43" s="24"/>
      <c r="X43" s="24"/>
      <c r="Y43" s="25"/>
    </row>
    <row r="44" spans="1:25" x14ac:dyDescent="0.25">
      <c r="B44" t="s">
        <v>35</v>
      </c>
      <c r="C44" t="s">
        <v>34</v>
      </c>
      <c r="D44" t="s">
        <v>33</v>
      </c>
      <c r="E44" t="s">
        <v>32</v>
      </c>
      <c r="F44" t="s">
        <v>31</v>
      </c>
      <c r="G44" t="s">
        <v>30</v>
      </c>
      <c r="H44" t="s">
        <v>17</v>
      </c>
      <c r="I44" t="s">
        <v>18</v>
      </c>
      <c r="J44" t="s">
        <v>19</v>
      </c>
      <c r="K44" t="s">
        <v>11</v>
      </c>
      <c r="L44" t="s">
        <v>20</v>
      </c>
      <c r="M44" t="s">
        <v>21</v>
      </c>
      <c r="N44" t="s">
        <v>22</v>
      </c>
      <c r="O44" t="s">
        <v>23</v>
      </c>
      <c r="S44" s="26" t="s">
        <v>48</v>
      </c>
      <c r="T44" s="26"/>
      <c r="U44" s="26"/>
      <c r="V44" t="s">
        <v>19</v>
      </c>
      <c r="W44" s="23" t="s">
        <v>38</v>
      </c>
      <c r="X44" s="24"/>
      <c r="Y44" s="25"/>
    </row>
    <row r="45" spans="1:25" x14ac:dyDescent="0.25">
      <c r="A45" s="6" t="s">
        <v>0</v>
      </c>
      <c r="B45" s="4">
        <f>B27/$O27</f>
        <v>0</v>
      </c>
      <c r="C45" s="4">
        <f t="shared" ref="C45:O45" si="13">C27/$O27</f>
        <v>0</v>
      </c>
      <c r="D45" s="4">
        <f t="shared" si="13"/>
        <v>0</v>
      </c>
      <c r="E45" s="4">
        <f t="shared" si="13"/>
        <v>0</v>
      </c>
      <c r="F45" s="4">
        <f t="shared" si="13"/>
        <v>0</v>
      </c>
      <c r="G45" s="4">
        <f t="shared" si="13"/>
        <v>2.9972752043596729E-2</v>
      </c>
      <c r="H45" s="4">
        <f t="shared" si="13"/>
        <v>0.13079019073569481</v>
      </c>
      <c r="I45" s="4">
        <f t="shared" si="13"/>
        <v>0.27247956403269757</v>
      </c>
      <c r="J45" s="4">
        <f t="shared" si="13"/>
        <v>0.52316076294277924</v>
      </c>
      <c r="K45" s="4">
        <f t="shared" si="13"/>
        <v>0.76021798365122617</v>
      </c>
      <c r="L45" s="4">
        <f t="shared" si="13"/>
        <v>0.91008174386920981</v>
      </c>
      <c r="M45" s="4">
        <f t="shared" si="13"/>
        <v>0.94550408719346046</v>
      </c>
      <c r="N45" s="4">
        <f t="shared" si="13"/>
        <v>0.97002724795640327</v>
      </c>
      <c r="O45" s="4">
        <f t="shared" si="13"/>
        <v>1</v>
      </c>
      <c r="S45" s="27" t="s">
        <v>13</v>
      </c>
      <c r="T45" s="27"/>
      <c r="U45" s="27"/>
      <c r="V45" s="7">
        <f>J$39/$J58</f>
        <v>381.68088805407814</v>
      </c>
      <c r="W45" s="11">
        <f>V45-((0.00032*V45+0.09862)*V45)</f>
        <v>297.42182277634504</v>
      </c>
      <c r="X45" s="12">
        <f>V45-((0.00032*V45+0.15)*V45)</f>
        <v>277.81105874812653</v>
      </c>
      <c r="Y45" s="13">
        <f>V45-((0.00032*V45+0.065)*V45)</f>
        <v>310.25393423272317</v>
      </c>
    </row>
    <row r="46" spans="1:25" x14ac:dyDescent="0.25">
      <c r="A46" s="6" t="s">
        <v>1</v>
      </c>
      <c r="B46" s="4">
        <f t="shared" ref="B46:N46" si="14">B28/$O28</f>
        <v>0</v>
      </c>
      <c r="C46" s="4">
        <f t="shared" si="14"/>
        <v>0</v>
      </c>
      <c r="D46" s="4">
        <f t="shared" si="14"/>
        <v>0</v>
      </c>
      <c r="E46" s="4">
        <f t="shared" si="14"/>
        <v>0</v>
      </c>
      <c r="F46" s="4">
        <f t="shared" si="14"/>
        <v>0</v>
      </c>
      <c r="G46" s="4">
        <f t="shared" si="14"/>
        <v>0</v>
      </c>
      <c r="H46" s="4">
        <f t="shared" si="14"/>
        <v>7.5842696629213488E-2</v>
      </c>
      <c r="I46" s="4">
        <f t="shared" si="14"/>
        <v>0.3202247191011236</v>
      </c>
      <c r="J46" s="4">
        <f t="shared" si="14"/>
        <v>0.4606741573033708</v>
      </c>
      <c r="K46" s="4">
        <f t="shared" si="14"/>
        <v>0.699438202247191</v>
      </c>
      <c r="L46" s="4">
        <f t="shared" si="14"/>
        <v>0.8539325842696629</v>
      </c>
      <c r="M46" s="4">
        <f t="shared" si="14"/>
        <v>0.9129213483146067</v>
      </c>
      <c r="N46" s="4">
        <f t="shared" si="14"/>
        <v>0.9719101123595506</v>
      </c>
      <c r="O46" s="4">
        <f>O28/$O28</f>
        <v>1</v>
      </c>
      <c r="S46" s="27" t="s">
        <v>14</v>
      </c>
      <c r="T46" s="27"/>
      <c r="U46" s="27"/>
      <c r="V46" s="7">
        <f>J$39/$J59</f>
        <v>368.39888153636406</v>
      </c>
      <c r="W46" s="14">
        <f t="shared" ref="W46:W51" si="15">V46-((0.00032*V46+0.09862)*V46)</f>
        <v>288.63770834572972</v>
      </c>
      <c r="X46" s="19">
        <f t="shared" ref="X46:X51" si="16">V46-((0.00032*V46+0.15)*V46)</f>
        <v>269.70937381239139</v>
      </c>
      <c r="Y46" s="15">
        <f t="shared" ref="Y46:Y51" si="17">V46-((0.00032*V46+0.065)*V46)</f>
        <v>301.02327874298231</v>
      </c>
    </row>
    <row r="47" spans="1:25" x14ac:dyDescent="0.25">
      <c r="A47" s="6" t="s">
        <v>2</v>
      </c>
      <c r="B47" s="4">
        <f t="shared" ref="B47:O47" si="18">B29/$O29</f>
        <v>0</v>
      </c>
      <c r="C47" s="4">
        <f t="shared" si="18"/>
        <v>0</v>
      </c>
      <c r="D47" s="4">
        <f t="shared" si="18"/>
        <v>0</v>
      </c>
      <c r="E47" s="4">
        <f t="shared" si="18"/>
        <v>0</v>
      </c>
      <c r="F47" s="4">
        <f t="shared" si="18"/>
        <v>0</v>
      </c>
      <c r="G47" s="4">
        <f t="shared" si="18"/>
        <v>1.6853932584269662E-2</v>
      </c>
      <c r="H47" s="4">
        <f t="shared" si="18"/>
        <v>7.5842696629213488E-2</v>
      </c>
      <c r="I47" s="4">
        <f t="shared" si="18"/>
        <v>0.27808988764044945</v>
      </c>
      <c r="J47" s="4">
        <f t="shared" si="18"/>
        <v>0.40168539325842695</v>
      </c>
      <c r="K47" s="4">
        <f t="shared" si="18"/>
        <v>0.648876404494382</v>
      </c>
      <c r="L47" s="4">
        <f t="shared" si="18"/>
        <v>0.8202247191011236</v>
      </c>
      <c r="M47" s="4">
        <f t="shared" si="18"/>
        <v>0.9185393258426966</v>
      </c>
      <c r="N47" s="4">
        <f t="shared" si="18"/>
        <v>0.9719101123595506</v>
      </c>
      <c r="O47" s="4">
        <f t="shared" si="18"/>
        <v>1</v>
      </c>
      <c r="S47" s="27" t="s">
        <v>15</v>
      </c>
      <c r="T47" s="27"/>
      <c r="U47" s="27"/>
      <c r="V47" s="7">
        <f>J$39/$J60</f>
        <v>397.95549982553587</v>
      </c>
      <c r="W47" s="14">
        <f t="shared" si="15"/>
        <v>308.03118288349606</v>
      </c>
      <c r="X47" s="19">
        <f t="shared" si="16"/>
        <v>287.58422930246002</v>
      </c>
      <c r="Y47" s="15">
        <f t="shared" si="17"/>
        <v>321.41044678763058</v>
      </c>
    </row>
    <row r="48" spans="1:25" x14ac:dyDescent="0.25">
      <c r="A48" s="6" t="s">
        <v>3</v>
      </c>
      <c r="B48" s="4">
        <f t="shared" ref="B48:O48" si="19">B30/$O30</f>
        <v>2.004008016032064E-3</v>
      </c>
      <c r="C48" s="4">
        <f t="shared" si="19"/>
        <v>2.004008016032064E-3</v>
      </c>
      <c r="D48" s="4">
        <f t="shared" si="19"/>
        <v>2.004008016032064E-3</v>
      </c>
      <c r="E48" s="4">
        <f t="shared" si="19"/>
        <v>1.2024048096192385E-2</v>
      </c>
      <c r="F48" s="4">
        <f t="shared" si="19"/>
        <v>9.4188376753507011E-2</v>
      </c>
      <c r="G48" s="4">
        <f t="shared" si="19"/>
        <v>0.20641282565130262</v>
      </c>
      <c r="H48" s="4">
        <f t="shared" si="19"/>
        <v>0.27254509018036072</v>
      </c>
      <c r="I48" s="4">
        <f t="shared" si="19"/>
        <v>0.33266533066132264</v>
      </c>
      <c r="J48" s="4">
        <f t="shared" si="19"/>
        <v>0.46092184368737477</v>
      </c>
      <c r="K48" s="4">
        <f t="shared" si="19"/>
        <v>0.76152304609218435</v>
      </c>
      <c r="L48" s="4">
        <f t="shared" si="19"/>
        <v>0.90781563126252507</v>
      </c>
      <c r="M48" s="4">
        <f t="shared" si="19"/>
        <v>0.97394789579158314</v>
      </c>
      <c r="N48" s="4">
        <f t="shared" si="19"/>
        <v>0.9879759519038076</v>
      </c>
      <c r="O48" s="4">
        <f t="shared" si="19"/>
        <v>1</v>
      </c>
      <c r="S48" s="27" t="s">
        <v>16</v>
      </c>
      <c r="T48" s="27"/>
      <c r="U48" s="27"/>
      <c r="V48" s="7">
        <f>J$39/$J61</f>
        <v>344.54949093987295</v>
      </c>
      <c r="W48" s="14">
        <f t="shared" si="15"/>
        <v>272.58142759716651</v>
      </c>
      <c r="X48" s="19">
        <f t="shared" si="16"/>
        <v>254.87847475267583</v>
      </c>
      <c r="Y48" s="15">
        <f t="shared" si="17"/>
        <v>284.165181482565</v>
      </c>
    </row>
    <row r="49" spans="1:32" x14ac:dyDescent="0.25">
      <c r="A49" s="6" t="s">
        <v>4</v>
      </c>
      <c r="B49" s="4">
        <f t="shared" ref="B49:O49" si="20">B31/$O31</f>
        <v>0</v>
      </c>
      <c r="C49" s="4">
        <f t="shared" si="20"/>
        <v>3.1397174254317113E-3</v>
      </c>
      <c r="D49" s="4">
        <f t="shared" si="20"/>
        <v>2.197802197802198E-2</v>
      </c>
      <c r="E49" s="4">
        <f t="shared" si="20"/>
        <v>5.8084772370486655E-2</v>
      </c>
      <c r="F49" s="4">
        <f t="shared" si="20"/>
        <v>0.18053375196232338</v>
      </c>
      <c r="G49" s="4">
        <f t="shared" si="20"/>
        <v>0.22762951334379905</v>
      </c>
      <c r="H49" s="4">
        <f t="shared" si="20"/>
        <v>0.29199372056514916</v>
      </c>
      <c r="I49" s="4">
        <f t="shared" si="20"/>
        <v>0.37205651491365777</v>
      </c>
      <c r="J49" s="4">
        <f t="shared" si="20"/>
        <v>0.47880690737833598</v>
      </c>
      <c r="K49" s="4">
        <f t="shared" si="20"/>
        <v>0.80219780219780223</v>
      </c>
      <c r="L49" s="4">
        <f t="shared" si="20"/>
        <v>0.92935635792778648</v>
      </c>
      <c r="M49" s="4">
        <f t="shared" si="20"/>
        <v>0.96232339089481944</v>
      </c>
      <c r="N49" s="4">
        <f t="shared" si="20"/>
        <v>0.98430141287284145</v>
      </c>
      <c r="O49" s="4">
        <f t="shared" si="20"/>
        <v>1</v>
      </c>
      <c r="S49" s="2"/>
      <c r="T49" s="2"/>
      <c r="U49" s="2" t="s">
        <v>47</v>
      </c>
      <c r="V49" s="7">
        <f>J$39/$J56</f>
        <v>353.21359223300971</v>
      </c>
      <c r="W49" s="14">
        <f t="shared" si="15"/>
        <v>278.4565184107833</v>
      </c>
      <c r="X49" s="19">
        <f t="shared" si="16"/>
        <v>260.30840404185125</v>
      </c>
      <c r="Y49" s="15">
        <f t="shared" si="17"/>
        <v>290.33155938165709</v>
      </c>
    </row>
    <row r="50" spans="1:32" x14ac:dyDescent="0.25">
      <c r="A50" s="6" t="s">
        <v>5</v>
      </c>
      <c r="B50" s="4">
        <f t="shared" ref="B50:O50" si="21">B32/$O32</f>
        <v>1.6835016835016834E-3</v>
      </c>
      <c r="C50" s="4">
        <f t="shared" si="21"/>
        <v>1.6835016835016834E-3</v>
      </c>
      <c r="D50" s="4">
        <f t="shared" si="21"/>
        <v>1.8518518518518517E-2</v>
      </c>
      <c r="E50" s="4">
        <f t="shared" si="21"/>
        <v>8.0808080808080815E-2</v>
      </c>
      <c r="F50" s="4">
        <f t="shared" si="21"/>
        <v>0.2138047138047138</v>
      </c>
      <c r="G50" s="4">
        <f t="shared" si="21"/>
        <v>0.26262626262626265</v>
      </c>
      <c r="H50" s="4">
        <f t="shared" si="21"/>
        <v>0.2946127946127946</v>
      </c>
      <c r="I50" s="4">
        <f t="shared" si="21"/>
        <v>0.36195286195286197</v>
      </c>
      <c r="J50" s="4">
        <f t="shared" si="21"/>
        <v>0.5067340067340067</v>
      </c>
      <c r="K50" s="4">
        <f t="shared" si="21"/>
        <v>0.81986531986531985</v>
      </c>
      <c r="L50" s="4">
        <f t="shared" si="21"/>
        <v>0.95454545454545459</v>
      </c>
      <c r="M50" s="4">
        <f t="shared" si="21"/>
        <v>0.98316498316498313</v>
      </c>
      <c r="N50" s="4">
        <f t="shared" si="21"/>
        <v>0.99831649831649827</v>
      </c>
      <c r="O50" s="4">
        <f t="shared" si="21"/>
        <v>1</v>
      </c>
      <c r="S50" s="27" t="s">
        <v>54</v>
      </c>
      <c r="T50" s="27"/>
      <c r="U50" s="27"/>
      <c r="V50" s="7">
        <f>J$39/0.5</f>
        <v>402</v>
      </c>
      <c r="W50" s="14">
        <f t="shared" si="15"/>
        <v>310.64148</v>
      </c>
      <c r="X50" s="19">
        <f t="shared" si="16"/>
        <v>289.98671999999999</v>
      </c>
      <c r="Y50" s="15">
        <f t="shared" si="17"/>
        <v>324.15672000000001</v>
      </c>
    </row>
    <row r="51" spans="1:32" x14ac:dyDescent="0.25">
      <c r="A51" s="6" t="s">
        <v>6</v>
      </c>
      <c r="B51" s="4">
        <f t="shared" ref="B51:O51" si="22">B33/$O33</f>
        <v>5.681818181818182E-3</v>
      </c>
      <c r="C51" s="4">
        <f t="shared" si="22"/>
        <v>9.46969696969697E-3</v>
      </c>
      <c r="D51" s="4">
        <f t="shared" si="22"/>
        <v>3.787878787878788E-2</v>
      </c>
      <c r="E51" s="4">
        <f t="shared" si="22"/>
        <v>7.3863636363636367E-2</v>
      </c>
      <c r="F51" s="4">
        <f t="shared" si="22"/>
        <v>0.21401515151515152</v>
      </c>
      <c r="G51" s="4">
        <f t="shared" si="22"/>
        <v>0.29166666666666669</v>
      </c>
      <c r="H51" s="4">
        <f t="shared" si="22"/>
        <v>0.3996212121212121</v>
      </c>
      <c r="I51" s="4">
        <f t="shared" si="22"/>
        <v>0.46780303030303028</v>
      </c>
      <c r="J51" s="4">
        <f t="shared" si="22"/>
        <v>0.57386363636363635</v>
      </c>
      <c r="K51" s="4">
        <f t="shared" si="22"/>
        <v>0.84659090909090906</v>
      </c>
      <c r="L51" s="4">
        <f t="shared" si="22"/>
        <v>0.94696969696969702</v>
      </c>
      <c r="M51" s="4">
        <f t="shared" si="22"/>
        <v>0.97916666666666663</v>
      </c>
      <c r="N51" s="4">
        <f t="shared" si="22"/>
        <v>0.99810606060606055</v>
      </c>
      <c r="O51" s="4">
        <f t="shared" si="22"/>
        <v>1</v>
      </c>
      <c r="S51" s="27" t="s">
        <v>55</v>
      </c>
      <c r="T51" s="27"/>
      <c r="U51" s="27"/>
      <c r="V51" s="7">
        <f>J$39/0.62</f>
        <v>324.19354838709677</v>
      </c>
      <c r="W51" s="16">
        <f t="shared" si="15"/>
        <v>258.58911446409991</v>
      </c>
      <c r="X51" s="17">
        <f t="shared" si="16"/>
        <v>241.93204994797085</v>
      </c>
      <c r="Y51" s="18">
        <f t="shared" si="17"/>
        <v>269.48850156087406</v>
      </c>
    </row>
    <row r="52" spans="1:32" x14ac:dyDescent="0.25">
      <c r="A52" s="6" t="s">
        <v>7</v>
      </c>
      <c r="B52" s="4">
        <f t="shared" ref="B52:O52" si="23">B34/$O34</f>
        <v>0</v>
      </c>
      <c r="C52" s="4">
        <f t="shared" si="23"/>
        <v>0</v>
      </c>
      <c r="D52" s="4">
        <f t="shared" si="23"/>
        <v>0</v>
      </c>
      <c r="E52" s="4">
        <f t="shared" si="23"/>
        <v>3.2467532467532464E-2</v>
      </c>
      <c r="F52" s="4">
        <f t="shared" si="23"/>
        <v>9.5238095238095233E-2</v>
      </c>
      <c r="G52" s="4">
        <f t="shared" si="23"/>
        <v>0.20346320346320346</v>
      </c>
      <c r="H52" s="4">
        <f t="shared" si="23"/>
        <v>0.32034632034632032</v>
      </c>
      <c r="I52" s="4">
        <f t="shared" si="23"/>
        <v>0.41774891774891776</v>
      </c>
      <c r="J52" s="4">
        <f t="shared" si="23"/>
        <v>0.58008658008658009</v>
      </c>
      <c r="K52" s="4">
        <f t="shared" si="23"/>
        <v>0.82683982683982682</v>
      </c>
      <c r="L52" s="4">
        <f t="shared" si="23"/>
        <v>0.93722943722943719</v>
      </c>
      <c r="M52" s="4">
        <f t="shared" si="23"/>
        <v>0.97186147186147187</v>
      </c>
      <c r="N52" s="4">
        <f t="shared" si="23"/>
        <v>0.9913419913419913</v>
      </c>
      <c r="O52" s="4">
        <f t="shared" si="23"/>
        <v>1</v>
      </c>
      <c r="S52" s="2"/>
      <c r="T52" s="2"/>
      <c r="U52" s="2"/>
      <c r="V52" s="7"/>
      <c r="W52" s="10" t="s">
        <v>40</v>
      </c>
      <c r="X52" s="10" t="s">
        <v>41</v>
      </c>
      <c r="Y52" s="10" t="s">
        <v>42</v>
      </c>
    </row>
    <row r="53" spans="1:32" x14ac:dyDescent="0.25">
      <c r="A53" s="6" t="s">
        <v>8</v>
      </c>
      <c r="B53" s="4">
        <f t="shared" ref="B53:O53" si="24">B35/$O35</f>
        <v>1.996007984031936E-3</v>
      </c>
      <c r="C53" s="4">
        <f t="shared" si="24"/>
        <v>1.996007984031936E-3</v>
      </c>
      <c r="D53" s="4">
        <f t="shared" si="24"/>
        <v>1.3972055888223553E-2</v>
      </c>
      <c r="E53" s="4">
        <f t="shared" si="24"/>
        <v>7.1856287425149698E-2</v>
      </c>
      <c r="F53" s="4">
        <f t="shared" si="24"/>
        <v>0.13972055888223553</v>
      </c>
      <c r="G53" s="4">
        <f t="shared" si="24"/>
        <v>0.2315369261477046</v>
      </c>
      <c r="H53" s="4">
        <f t="shared" si="24"/>
        <v>0.3473053892215569</v>
      </c>
      <c r="I53" s="4">
        <f t="shared" si="24"/>
        <v>0.43712574850299402</v>
      </c>
      <c r="J53" s="4">
        <f t="shared" si="24"/>
        <v>0.59880239520958078</v>
      </c>
      <c r="K53" s="4">
        <f t="shared" si="24"/>
        <v>0.82634730538922152</v>
      </c>
      <c r="L53" s="4">
        <f t="shared" si="24"/>
        <v>0.93013972055888228</v>
      </c>
      <c r="M53" s="4">
        <f t="shared" si="24"/>
        <v>0.96806387225548907</v>
      </c>
      <c r="N53" s="4">
        <f t="shared" si="24"/>
        <v>0.99201596806387227</v>
      </c>
      <c r="O53" s="4">
        <f t="shared" si="24"/>
        <v>1</v>
      </c>
      <c r="R53" s="30" t="s">
        <v>39</v>
      </c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 spans="1:32" x14ac:dyDescent="0.25">
      <c r="A54" s="6" t="s">
        <v>9</v>
      </c>
      <c r="B54" s="4">
        <f t="shared" ref="B54:O54" si="25">B36/$O36</f>
        <v>1.278772378516624E-2</v>
      </c>
      <c r="C54" s="4">
        <f t="shared" si="25"/>
        <v>1.278772378516624E-2</v>
      </c>
      <c r="D54" s="4">
        <f t="shared" si="25"/>
        <v>2.557544757033248E-2</v>
      </c>
      <c r="E54" s="4">
        <f t="shared" si="25"/>
        <v>6.1381074168797956E-2</v>
      </c>
      <c r="F54" s="4">
        <f t="shared" si="25"/>
        <v>0.16368286445012789</v>
      </c>
      <c r="G54" s="4">
        <f t="shared" si="25"/>
        <v>0.21483375959079284</v>
      </c>
      <c r="H54" s="4">
        <f t="shared" si="25"/>
        <v>0.28388746803069054</v>
      </c>
      <c r="I54" s="4">
        <f t="shared" si="25"/>
        <v>0.38874680306905368</v>
      </c>
      <c r="J54" s="4">
        <f t="shared" si="25"/>
        <v>0.60869565217391308</v>
      </c>
      <c r="K54" s="4">
        <f t="shared" si="25"/>
        <v>0.83120204603580561</v>
      </c>
      <c r="L54" s="4">
        <f t="shared" si="25"/>
        <v>0.89258312020460362</v>
      </c>
      <c r="M54" s="4">
        <f t="shared" si="25"/>
        <v>0.96163682864450128</v>
      </c>
      <c r="N54" s="4">
        <f t="shared" si="25"/>
        <v>0.98465473145780047</v>
      </c>
      <c r="O54" s="4">
        <f t="shared" si="25"/>
        <v>1</v>
      </c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 spans="1:32" x14ac:dyDescent="0.25">
      <c r="A55" s="6" t="s">
        <v>10</v>
      </c>
      <c r="B55" s="4">
        <f t="shared" ref="B55:O55" si="26">B37/$O37</f>
        <v>3.0769230769230769E-3</v>
      </c>
      <c r="C55" s="4">
        <f t="shared" si="26"/>
        <v>6.1538461538461538E-3</v>
      </c>
      <c r="D55" s="4">
        <f t="shared" si="26"/>
        <v>4.3076923076923075E-2</v>
      </c>
      <c r="E55" s="4">
        <f t="shared" si="26"/>
        <v>8.615384615384615E-2</v>
      </c>
      <c r="F55" s="4">
        <f t="shared" si="26"/>
        <v>0.19692307692307692</v>
      </c>
      <c r="G55" s="4">
        <f t="shared" si="26"/>
        <v>0.29538461538461541</v>
      </c>
      <c r="H55" s="4">
        <f t="shared" si="26"/>
        <v>0.39384615384615385</v>
      </c>
      <c r="I55" s="4">
        <f t="shared" si="26"/>
        <v>0.45538461538461539</v>
      </c>
      <c r="J55" s="4">
        <f t="shared" si="26"/>
        <v>0.55692307692307697</v>
      </c>
      <c r="K55" s="4">
        <f t="shared" si="26"/>
        <v>0.75384615384615383</v>
      </c>
      <c r="L55" s="4">
        <f t="shared" si="26"/>
        <v>0.91076923076923078</v>
      </c>
      <c r="M55" s="4">
        <f t="shared" si="26"/>
        <v>0.95076923076923081</v>
      </c>
      <c r="N55" s="4">
        <f t="shared" si="26"/>
        <v>0.97538461538461541</v>
      </c>
      <c r="O55" s="4">
        <f t="shared" si="26"/>
        <v>1</v>
      </c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 spans="1:32" x14ac:dyDescent="0.25">
      <c r="A56" s="6" t="s">
        <v>47</v>
      </c>
      <c r="B56" s="4">
        <f t="shared" ref="B56:O56" si="27">B38/$O38</f>
        <v>0</v>
      </c>
      <c r="C56" s="4">
        <f t="shared" si="27"/>
        <v>2.7624309392265192E-3</v>
      </c>
      <c r="D56" s="4">
        <f t="shared" si="27"/>
        <v>1.6574585635359115E-2</v>
      </c>
      <c r="E56" s="4">
        <f t="shared" si="27"/>
        <v>8.0110497237569064E-2</v>
      </c>
      <c r="F56" s="4">
        <f t="shared" si="27"/>
        <v>0.17127071823204421</v>
      </c>
      <c r="G56" s="4">
        <f t="shared" si="27"/>
        <v>0.21823204419889503</v>
      </c>
      <c r="H56" s="4">
        <f t="shared" si="27"/>
        <v>0.34806629834254144</v>
      </c>
      <c r="I56" s="4">
        <f t="shared" si="27"/>
        <v>0.46685082872928174</v>
      </c>
      <c r="J56" s="4">
        <f t="shared" si="27"/>
        <v>0.56906077348066297</v>
      </c>
      <c r="K56" s="4">
        <f t="shared" si="27"/>
        <v>0.84254143646408841</v>
      </c>
      <c r="L56" s="4">
        <f t="shared" si="27"/>
        <v>0.91988950276243098</v>
      </c>
      <c r="M56" s="4">
        <f t="shared" si="27"/>
        <v>0.95027624309392267</v>
      </c>
      <c r="N56" s="4">
        <f t="shared" si="27"/>
        <v>0.98618784530386738</v>
      </c>
      <c r="O56" s="4">
        <f t="shared" si="27"/>
        <v>1</v>
      </c>
    </row>
    <row r="57" spans="1:32" x14ac:dyDescent="0.25">
      <c r="A57" s="6" t="s">
        <v>50</v>
      </c>
      <c r="B57" s="4"/>
      <c r="C57" s="3"/>
      <c r="D57" s="3"/>
      <c r="E57" s="3"/>
      <c r="F57" s="3"/>
      <c r="G57" s="3"/>
      <c r="H57" s="3"/>
      <c r="I57" s="3"/>
      <c r="J57" s="3"/>
      <c r="L57" s="3"/>
      <c r="M57" s="3"/>
      <c r="N57" s="3"/>
      <c r="O57" s="3"/>
    </row>
    <row r="58" spans="1:32" x14ac:dyDescent="0.25">
      <c r="A58" s="2" t="s">
        <v>13</v>
      </c>
      <c r="B58" s="4">
        <f>AVERAGE(B45:B56)</f>
        <v>2.2691652272894317E-3</v>
      </c>
      <c r="C58" s="4">
        <f t="shared" ref="C58:O58" si="28">AVERAGE(C45:C56)</f>
        <v>3.3330777464111068E-3</v>
      </c>
      <c r="D58" s="4">
        <f t="shared" si="28"/>
        <v>1.4964862380183222E-2</v>
      </c>
      <c r="E58" s="4">
        <f t="shared" si="28"/>
        <v>4.6395814590940963E-2</v>
      </c>
      <c r="F58" s="4">
        <f t="shared" si="28"/>
        <v>0.12244810898010632</v>
      </c>
      <c r="G58" s="4">
        <f t="shared" si="28"/>
        <v>0.18321770847509242</v>
      </c>
      <c r="H58" s="4">
        <f t="shared" si="28"/>
        <v>0.2695583359384085</v>
      </c>
      <c r="I58" s="4">
        <f t="shared" si="28"/>
        <v>0.38092740183666712</v>
      </c>
      <c r="J58" s="4">
        <f t="shared" si="28"/>
        <v>0.52661793212847874</v>
      </c>
      <c r="K58" s="4">
        <f>AVERAGE(K45:K56)</f>
        <v>0.78495720301784255</v>
      </c>
      <c r="L58" s="4">
        <f t="shared" si="28"/>
        <v>0.90946143328917028</v>
      </c>
      <c r="M58" s="4">
        <f t="shared" si="28"/>
        <v>0.95651461204111943</v>
      </c>
      <c r="N58" s="4">
        <f t="shared" si="28"/>
        <v>0.98434437899390492</v>
      </c>
      <c r="O58" s="4">
        <f t="shared" si="28"/>
        <v>1</v>
      </c>
    </row>
    <row r="59" spans="1:32" x14ac:dyDescent="0.25">
      <c r="A59" s="8" t="s">
        <v>52</v>
      </c>
      <c r="B59" s="5">
        <f>AVERAGE(B48:B55)</f>
        <v>3.4037478409341478E-3</v>
      </c>
      <c r="C59" s="5">
        <f t="shared" ref="C59:G59" si="29">AVERAGE(C48:C55)</f>
        <v>4.6543127522133453E-3</v>
      </c>
      <c r="D59" s="5">
        <f t="shared" si="29"/>
        <v>2.0375470365854943E-2</v>
      </c>
      <c r="E59" s="5">
        <f t="shared" si="29"/>
        <v>5.9579909731715314E-2</v>
      </c>
      <c r="F59" s="5">
        <f t="shared" si="29"/>
        <v>0.16226332369115393</v>
      </c>
      <c r="G59" s="5">
        <f t="shared" si="29"/>
        <v>0.24169422160929338</v>
      </c>
      <c r="H59" s="5">
        <f>AVERAGE(H48:H55)</f>
        <v>0.32551976861552978</v>
      </c>
      <c r="I59" s="5">
        <f t="shared" ref="I59:O59" si="30">AVERAGE(I48:I55)</f>
        <v>0.40418547781705672</v>
      </c>
      <c r="J59" s="5">
        <f t="shared" si="30"/>
        <v>0.54560426231956305</v>
      </c>
      <c r="K59" s="5">
        <f t="shared" si="30"/>
        <v>0.80855155116965294</v>
      </c>
      <c r="L59" s="5">
        <f t="shared" si="30"/>
        <v>0.92617608118345207</v>
      </c>
      <c r="M59" s="5">
        <f t="shared" si="30"/>
        <v>0.96886679250609309</v>
      </c>
      <c r="N59" s="5">
        <f t="shared" si="30"/>
        <v>0.98901215374343587</v>
      </c>
      <c r="O59" s="5">
        <f t="shared" si="30"/>
        <v>1</v>
      </c>
    </row>
    <row r="60" spans="1:32" x14ac:dyDescent="0.25">
      <c r="A60" s="8" t="s">
        <v>53</v>
      </c>
      <c r="B60" s="5">
        <f>AVERAGE(B48:B51)</f>
        <v>2.3423319703379823E-3</v>
      </c>
      <c r="C60" s="5">
        <f t="shared" ref="C60:O60" si="31">AVERAGE(C48:C51)</f>
        <v>4.074231023665607E-3</v>
      </c>
      <c r="D60" s="5">
        <f t="shared" si="31"/>
        <v>2.009483409784011E-2</v>
      </c>
      <c r="E60" s="5">
        <f t="shared" si="31"/>
        <v>5.6195134409599057E-2</v>
      </c>
      <c r="F60" s="5">
        <f t="shared" si="31"/>
        <v>0.17563549850892393</v>
      </c>
      <c r="G60" s="5">
        <f t="shared" si="31"/>
        <v>0.24708381707200777</v>
      </c>
      <c r="H60" s="5">
        <f t="shared" si="31"/>
        <v>0.31469320436987913</v>
      </c>
      <c r="I60" s="5">
        <f t="shared" si="31"/>
        <v>0.38361943445771818</v>
      </c>
      <c r="J60" s="5">
        <f t="shared" si="31"/>
        <v>0.50508159854083845</v>
      </c>
      <c r="K60" s="5">
        <f t="shared" si="31"/>
        <v>0.80754426931155399</v>
      </c>
      <c r="L60" s="5">
        <f t="shared" si="31"/>
        <v>0.93467178517636573</v>
      </c>
      <c r="M60" s="5">
        <f t="shared" si="31"/>
        <v>0.97465073412951309</v>
      </c>
      <c r="N60" s="5">
        <f t="shared" si="31"/>
        <v>0.99217498092480194</v>
      </c>
      <c r="O60" s="5">
        <f t="shared" si="31"/>
        <v>1</v>
      </c>
    </row>
    <row r="61" spans="1:32" x14ac:dyDescent="0.25">
      <c r="A61" s="8" t="s">
        <v>16</v>
      </c>
      <c r="B61" s="5">
        <f>AVERAGE(B53:B56)</f>
        <v>4.4651637115303133E-3</v>
      </c>
      <c r="C61" s="5">
        <f t="shared" ref="C61:O61" si="32">AVERAGE(C53:C56)</f>
        <v>5.9250022155677116E-3</v>
      </c>
      <c r="D61" s="5">
        <f t="shared" si="32"/>
        <v>2.4799753042709555E-2</v>
      </c>
      <c r="E61" s="5">
        <f t="shared" si="32"/>
        <v>7.4875426246340721E-2</v>
      </c>
      <c r="F61" s="5">
        <f t="shared" si="32"/>
        <v>0.16789930462187114</v>
      </c>
      <c r="G61" s="5">
        <f t="shared" si="32"/>
        <v>0.23999683633050195</v>
      </c>
      <c r="H61" s="5">
        <f t="shared" si="32"/>
        <v>0.34327632736023572</v>
      </c>
      <c r="I61" s="5">
        <f t="shared" si="32"/>
        <v>0.43702699892148622</v>
      </c>
      <c r="J61" s="5">
        <f t="shared" si="32"/>
        <v>0.58337047444680845</v>
      </c>
      <c r="K61" s="5">
        <f t="shared" si="32"/>
        <v>0.81348423543381743</v>
      </c>
      <c r="L61" s="5">
        <f t="shared" si="32"/>
        <v>0.91334539357378697</v>
      </c>
      <c r="M61" s="5">
        <f t="shared" si="32"/>
        <v>0.95768654369078599</v>
      </c>
      <c r="N61" s="5">
        <f t="shared" si="32"/>
        <v>0.98456079005253894</v>
      </c>
      <c r="O61" s="5">
        <f t="shared" si="32"/>
        <v>1</v>
      </c>
    </row>
    <row r="62" spans="1:32" x14ac:dyDescent="0.25">
      <c r="A62" s="8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R62" s="8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</row>
    <row r="73" spans="1:39" ht="15" customHeight="1" x14ac:dyDescent="0.25"/>
    <row r="74" spans="1:39" ht="15" customHeight="1" x14ac:dyDescent="0.25"/>
    <row r="75" spans="1:39" ht="15" customHeight="1" x14ac:dyDescent="0.25"/>
    <row r="76" spans="1:39" x14ac:dyDescent="0.25">
      <c r="AH76" s="8"/>
      <c r="AL76" t="s">
        <v>44</v>
      </c>
      <c r="AM76" t="s">
        <v>28</v>
      </c>
    </row>
    <row r="77" spans="1:39" x14ac:dyDescent="0.25">
      <c r="A77" s="8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R77" s="8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</row>
    <row r="78" spans="1:39" x14ac:dyDescent="0.25">
      <c r="A78" s="8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R78" s="8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</row>
  </sheetData>
  <mergeCells count="15">
    <mergeCell ref="S44:U44"/>
    <mergeCell ref="W44:Y44"/>
    <mergeCell ref="S45:U45"/>
    <mergeCell ref="R42:Y42"/>
    <mergeCell ref="R53:AF55"/>
    <mergeCell ref="S46:U46"/>
    <mergeCell ref="S47:U47"/>
    <mergeCell ref="S48:U48"/>
    <mergeCell ref="S50:U50"/>
    <mergeCell ref="S51:U51"/>
    <mergeCell ref="R6:W7"/>
    <mergeCell ref="A6:O7"/>
    <mergeCell ref="A24:O25"/>
    <mergeCell ref="A42:O43"/>
    <mergeCell ref="S43:Y43"/>
  </mergeCells>
  <conditionalFormatting sqref="W45:Y5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  <ignoredErrors>
    <ignoredError sqref="C61:O61 C59:O5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Cilino, Robert</cp:lastModifiedBy>
  <dcterms:created xsi:type="dcterms:W3CDTF">2023-03-24T19:05:49Z</dcterms:created>
  <dcterms:modified xsi:type="dcterms:W3CDTF">2025-11-12T19:58:05Z</dcterms:modified>
</cp:coreProperties>
</file>