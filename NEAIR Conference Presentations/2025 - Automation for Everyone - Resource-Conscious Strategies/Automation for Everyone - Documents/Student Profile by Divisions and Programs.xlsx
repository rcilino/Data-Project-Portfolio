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Documents\NEAIR\2025 Presentation\Automation for Everyone - Documents\Automation for Everyone - Documents\"/>
    </mc:Choice>
  </mc:AlternateContent>
  <xr:revisionPtr revIDLastSave="0" documentId="13_ncr:1_{FFC6FCDA-3E73-4BB5-AA96-6202738A3CD2}" xr6:coauthVersionLast="47" xr6:coauthVersionMax="47" xr10:uidLastSave="{00000000-0000-0000-0000-000000000000}"/>
  <bookViews>
    <workbookView xWindow="28290" yWindow="3780" windowWidth="17355" windowHeight="13320" xr2:uid="{C9ABB33E-4178-4467-BE19-68D337894B67}"/>
  </bookViews>
  <sheets>
    <sheet name="Division Stu. Prof." sheetId="1" r:id="rId1"/>
    <sheet name="Program Stu. Prof."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17" i="1" l="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16" i="1"/>
  <c r="AS21" i="1"/>
  <c r="AS55" i="1"/>
  <c r="AS62" i="1"/>
  <c r="AS61" i="1"/>
  <c r="AS60" i="1"/>
  <c r="AS59" i="1"/>
  <c r="AS58" i="1"/>
  <c r="AS57" i="1"/>
  <c r="AS56" i="1"/>
  <c r="AS36" i="1"/>
  <c r="AS24" i="1"/>
  <c r="AS17" i="1"/>
  <c r="AS37" i="1"/>
  <c r="AS38" i="1"/>
  <c r="AS39" i="1"/>
  <c r="AS40" i="1"/>
  <c r="AS41" i="1"/>
  <c r="AS42" i="1"/>
  <c r="AS43" i="1"/>
  <c r="AS23" i="1"/>
  <c r="AS22" i="1"/>
  <c r="AS20" i="1"/>
  <c r="AS19" i="1"/>
  <c r="AS18" i="1"/>
  <c r="AS27" i="1"/>
  <c r="AS47" i="1"/>
  <c r="AS46" i="1"/>
  <c r="AR48" i="1"/>
  <c r="AL48" i="1"/>
  <c r="AR29" i="1"/>
  <c r="AS28" i="1"/>
  <c r="AR67" i="1"/>
  <c r="AS66" i="1"/>
  <c r="AS65" i="1"/>
  <c r="AQ29" i="1"/>
  <c r="AQ67" i="1"/>
  <c r="AP67" i="1"/>
  <c r="AO67" i="1"/>
  <c r="AN67" i="1"/>
  <c r="AM67" i="1"/>
  <c r="AL67" i="1"/>
  <c r="AQ48" i="1"/>
  <c r="AP48" i="1"/>
  <c r="AO48" i="1"/>
  <c r="AN48" i="1"/>
  <c r="AM48" i="1"/>
  <c r="C37" i="2"/>
  <c r="AS48" i="1" l="1"/>
  <c r="AS29" i="1"/>
  <c r="AS67" i="1"/>
  <c r="J37" i="2"/>
  <c r="I37" i="2"/>
  <c r="G37" i="2"/>
  <c r="F37" i="2"/>
  <c r="D37" i="2"/>
  <c r="E37" i="2" s="1"/>
  <c r="AP29" i="1"/>
  <c r="AM29" i="1" l="1"/>
  <c r="AN29" i="1"/>
  <c r="AO29" i="1"/>
  <c r="H37" i="2"/>
  <c r="K37" i="2"/>
  <c r="AL29" i="1"/>
</calcChain>
</file>

<file path=xl/sharedStrings.xml><?xml version="1.0" encoding="utf-8"?>
<sst xmlns="http://schemas.openxmlformats.org/spreadsheetml/2006/main" count="1121" uniqueCount="109">
  <si>
    <t>FA2017</t>
  </si>
  <si>
    <t>FA2018</t>
  </si>
  <si>
    <t>FA2019</t>
  </si>
  <si>
    <t>FA2020</t>
  </si>
  <si>
    <t>retained</t>
  </si>
  <si>
    <t>In-Division</t>
  </si>
  <si>
    <t>Division</t>
  </si>
  <si>
    <t>total</t>
  </si>
  <si>
    <t>retention rate</t>
  </si>
  <si>
    <t>In-Program</t>
  </si>
  <si>
    <t>In-School</t>
  </si>
  <si>
    <t>In-Program Retention</t>
  </si>
  <si>
    <t>In-Division Retention</t>
  </si>
  <si>
    <t>Chart Prog Title</t>
  </si>
  <si>
    <t>FA2021</t>
  </si>
  <si>
    <t>Plug-In Values for Chart
First-Time Retention 2017 to FA2021 cohorts</t>
  </si>
  <si>
    <t>Full-Time First-Time Freshmen
Division Student Profiles</t>
  </si>
  <si>
    <t>Profile</t>
  </si>
  <si>
    <t>FA2022</t>
  </si>
  <si>
    <t>prof. size</t>
  </si>
  <si>
    <t>prof. %</t>
  </si>
  <si>
    <t>FA2023</t>
  </si>
  <si>
    <t>Plug-In Values for Chart
FTFT Cohorts</t>
  </si>
  <si>
    <t>Plug-In Values for Chart
FTFT Cohorts - Division</t>
  </si>
  <si>
    <t>Plug-In Values for Chart
Term FTFT Division Comparison</t>
  </si>
  <si>
    <t>Plug-In Values for Chart
Term-Span FTFT Division Comparison</t>
  </si>
  <si>
    <t>CHARTS THAT WAY ------&gt;
CHARTS THAT WAY ------&gt;
CHARTS THAT WAY ------&gt;</t>
  </si>
  <si>
    <t>Cohort</t>
  </si>
  <si>
    <t>Pop.</t>
  </si>
  <si>
    <t>17-23 Avg</t>
  </si>
  <si>
    <t>&lt;------ DATA THIS WAY
&lt;------ DATA THIS WAY
&lt;------ DATA THIS WAY</t>
  </si>
  <si>
    <t>FA17-FA23</t>
  </si>
  <si>
    <t>College Avg.</t>
  </si>
  <si>
    <t>Div. 1</t>
  </si>
  <si>
    <t>Div. 2</t>
  </si>
  <si>
    <t>Div. 3</t>
  </si>
  <si>
    <t>Div. 4</t>
  </si>
  <si>
    <t>Div. 5</t>
  </si>
  <si>
    <t>Div. 6</t>
  </si>
  <si>
    <t>Div. 7</t>
  </si>
  <si>
    <t>Div. 8</t>
  </si>
  <si>
    <t>College Avg</t>
  </si>
  <si>
    <t>Program 1</t>
  </si>
  <si>
    <t>Program 2</t>
  </si>
  <si>
    <t>Program 3</t>
  </si>
  <si>
    <t>Program 4</t>
  </si>
  <si>
    <t>Program 5</t>
  </si>
  <si>
    <t>Program 6</t>
  </si>
  <si>
    <t>Program 7</t>
  </si>
  <si>
    <t>Program 8</t>
  </si>
  <si>
    <t>Program 9</t>
  </si>
  <si>
    <t>Program 10</t>
  </si>
  <si>
    <t>Program 11</t>
  </si>
  <si>
    <t>Program 12</t>
  </si>
  <si>
    <t>Program 13</t>
  </si>
  <si>
    <t>Program 14</t>
  </si>
  <si>
    <t>Program 15</t>
  </si>
  <si>
    <t>Program 16</t>
  </si>
  <si>
    <t>Program 17</t>
  </si>
  <si>
    <t>Program 18</t>
  </si>
  <si>
    <t>Program 19</t>
  </si>
  <si>
    <t>Program 20</t>
  </si>
  <si>
    <t>Program 21</t>
  </si>
  <si>
    <t>Program 22</t>
  </si>
  <si>
    <t>Program 23</t>
  </si>
  <si>
    <t>Program 24</t>
  </si>
  <si>
    <t>Program 25</t>
  </si>
  <si>
    <t>Program 26</t>
  </si>
  <si>
    <t>Program 27</t>
  </si>
  <si>
    <t>Program 28</t>
  </si>
  <si>
    <t>Program 29</t>
  </si>
  <si>
    <t>Program 30</t>
  </si>
  <si>
    <t>Program 31</t>
  </si>
  <si>
    <t>* Exploratory not used for Division 1 Averages</t>
  </si>
  <si>
    <t>Sub-Demographic 1 FTIC Student Population</t>
  </si>
  <si>
    <t>Sub-Demographic 2 FTIC Student Population</t>
  </si>
  <si>
    <t>Sub-Demographic 1 or 2  FTIC Student Population</t>
  </si>
  <si>
    <t>Sub-Demographic 4  FTIC Student Population</t>
  </si>
  <si>
    <t xml:space="preserve">Sub-Demographic 1 </t>
  </si>
  <si>
    <t>Sub-Demographic 1</t>
  </si>
  <si>
    <t xml:space="preserve">Sub-Demographic 2 </t>
  </si>
  <si>
    <t>Sub-Demographic 2</t>
  </si>
  <si>
    <t>Sub-Demographic 3 FTIC Student Population</t>
  </si>
  <si>
    <t>Sub-Demographic 1 or 2</t>
  </si>
  <si>
    <t>Sub-Demographic 3</t>
  </si>
  <si>
    <t>Sub-Demographic 4</t>
  </si>
  <si>
    <t>Census Term</t>
  </si>
  <si>
    <t>SubDemo 1</t>
  </si>
  <si>
    <t>SubDemo 2</t>
  </si>
  <si>
    <t>SubDemo 1 or 2</t>
  </si>
  <si>
    <t>Col. Avg. SubDemo 1</t>
  </si>
  <si>
    <t>Col. Avg. SubDemo 2</t>
  </si>
  <si>
    <t>Col. Avg. SubDemo 1 or 2</t>
  </si>
  <si>
    <t>In-College Retention</t>
  </si>
  <si>
    <t>% SubDemo 1</t>
  </si>
  <si>
    <t>% SubDemo2</t>
  </si>
  <si>
    <t>% SubDemo 1 or 2</t>
  </si>
  <si>
    <t>FTFT Student Profiles
SubDemo 1 - Division Avg.</t>
  </si>
  <si>
    <t>FTFT Student Profiles
SubDemo 2 - Division Avg.</t>
  </si>
  <si>
    <t>FTFT Student Profiles
SubDemo 1 or 2 - Division Avg.</t>
  </si>
  <si>
    <t>The same methodology can be used to compare differences in retention rates or graduation rates between student subpopulations or academic colleges/divisions.</t>
  </si>
  <si>
    <t>Use these charts to show differences in sub-populations of students, even then broken down by academic colleges/divisions, or programs within a college/division.</t>
  </si>
  <si>
    <t>This provides insight for each academic dean or division/program chair to understand their population better and benchmark themselves on their performance with more understanding.</t>
  </si>
  <si>
    <t>-Robert Cilino</t>
  </si>
  <si>
    <t>*Fictionalized Data</t>
  </si>
  <si>
    <t>I used SQL to do the headcounts and math for me based on a census table, then pasted the values here.</t>
  </si>
  <si>
    <t>This does not include utilizing index matches or other cell reference formulas to change the data for charts in the chart data area based on referenced fields like "FA2019" or "Div. 1" or "Sub-Demo 1" but the opportunity is there to automate further.</t>
  </si>
  <si>
    <t>That is a great example of doing what you can in the moment while thinking ahead to the future.</t>
  </si>
  <si>
    <t>Store SQL files that calculate for each desired breakdown and your annual updates will be quick!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</si>
</sst>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0" fillId="0" borderId="0" xfId="0" applyAlignment="1">
      <alignment horizontal="right"/>
    </xf>
    <xf numFmtId="9" fontId="0" fillId="0" borderId="0" xfId="1" applyFont="1"/>
    <xf numFmtId="0" fontId="0" fillId="0" borderId="0" xfId="0" applyAlignment="1">
      <alignment horizontal="left"/>
    </xf>
    <xf numFmtId="0" fontId="0" fillId="0" borderId="0" xfId="0" quotePrefix="1"/>
    <xf numFmtId="164" fontId="0" fillId="0" borderId="0" xfId="1" applyNumberFormat="1" applyFont="1"/>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1" applyNumberFormat="1" applyFont="1"/>
    <xf numFmtId="0" fontId="2" fillId="0" borderId="0" xfId="0" applyFont="1" applyAlignment="1">
      <alignment vertical="center" wrapText="1"/>
    </xf>
    <xf numFmtId="0" fontId="2" fillId="0" borderId="0" xfId="0" applyFont="1"/>
    <xf numFmtId="49" fontId="2" fillId="0" borderId="0" xfId="0" applyNumberFormat="1" applyFont="1"/>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5D989"/>
      <color rgb="FFFFC423"/>
      <color rgb="FF00583D"/>
      <color rgb="FF91B1A9"/>
      <color rgb="FF4F816A"/>
      <color rgb="FFEA9A23"/>
      <color rgb="FF234131"/>
      <color rgb="FF55859D"/>
      <color rgb="FF013F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FA2023 Student Population - SubDemo 1 or 2 - FTIC - Divisions</a:t>
            </a:r>
          </a:p>
        </c:rich>
      </c:tx>
      <c:layout>
        <c:manualLayout>
          <c:xMode val="edge"/>
          <c:yMode val="edge"/>
          <c:x val="0.19309216449208852"/>
          <c:y val="2.4747315676449534E-2"/>
        </c:manualLayout>
      </c:layout>
      <c:overlay val="0"/>
      <c:spPr>
        <a:noFill/>
        <a:ln>
          <a:solidFill>
            <a:schemeClr val="bg2"/>
          </a:solidFill>
        </a:ln>
        <a:effectLst>
          <a:outerShdw blurRad="50800" dist="38100" dir="2700000" algn="tl" rotWithShape="0">
            <a:schemeClr val="bg1">
              <a:lumMod val="50000"/>
              <a:alpha val="40000"/>
            </a:schemeClr>
          </a:outerShdw>
        </a:effectLst>
      </c:spPr>
      <c:txPr>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'Division Stu. Prof.'!$BH$17</c:f>
              <c:strCache>
                <c:ptCount val="1"/>
                <c:pt idx="0">
                  <c:v>SubDemo 1</c:v>
                </c:pt>
              </c:strCache>
            </c:strRef>
          </c:tx>
          <c:spPr>
            <a:solidFill>
              <a:schemeClr val="accent3"/>
            </a:solidFill>
            <a:ln>
              <a:solidFill>
                <a:schemeClr val="accent3"/>
              </a:solidFill>
            </a:ln>
            <a:effectLst/>
          </c:spPr>
          <c:invertIfNegative val="0"/>
          <c:dPt>
            <c:idx val="0"/>
            <c:invertIfNegative val="0"/>
            <c:bubble3D val="0"/>
            <c:spPr>
              <a:solidFill>
                <a:schemeClr val="accent3"/>
              </a:solidFill>
              <a:ln w="31750">
                <a:solidFill>
                  <a:schemeClr val="accent3">
                    <a:lumMod val="75000"/>
                  </a:schemeClr>
                </a:solidFill>
                <a:prstDash val="sysDot"/>
              </a:ln>
              <a:effectLst/>
            </c:spPr>
            <c:extLst>
              <c:ext xmlns:c16="http://schemas.microsoft.com/office/drawing/2014/chart" uri="{C3380CC4-5D6E-409C-BE32-E72D297353CC}">
                <c16:uniqueId val="{00000004-7957-4EA2-A380-06029563295C}"/>
              </c:ext>
            </c:extLst>
          </c:dPt>
          <c:dLbls>
            <c:dLbl>
              <c:idx val="0"/>
              <c:tx>
                <c:rich>
                  <a:bodyPr/>
                  <a:lstStyle/>
                  <a:p>
                    <a:r>
                      <a:rPr lang="en-US"/>
                      <a:t>260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957-4EA2-A380-06029563295C}"/>
                </c:ext>
              </c:extLst>
            </c:dLbl>
            <c:dLbl>
              <c:idx val="1"/>
              <c:tx>
                <c:rich>
                  <a:bodyPr/>
                  <a:lstStyle/>
                  <a:p>
                    <a:fld id="{5D29224E-FA56-4C3C-8869-C452032C1729}"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{5D29224E-FA56-4C3C-8869-C452032C1729}</c15:txfldGUID>
                      <c15:f>'Division Stu. Prof.'!$AT$19</c15:f>
                      <c15:dlblFieldTableCache>
                        <c:ptCount val="1"/>
                      </c15:dlblFieldTableCache>
                    </c15:dlblFTEntry>
                  </c15:dlblFieldTable>
                  <c15:showDataLabelsRange val="0"/>
                </c:ext>
                <c:ext xmlns:c16="http://schemas.microsoft.com/office/drawing/2014/chart" uri="{C3380CC4-5D6E-409C-BE32-E72D297353CC}">
                  <c16:uniqueId val="{00000009-7957-4EA2-A380-06029563295C}"/>
                </c:ext>
              </c:extLst>
            </c:dLbl>
            <c:dLbl>
              <c:idx val="2"/>
              <c:tx>
                <c:rich>
                  <a:bodyPr/>
                  <a:lstStyle/>
                  <a:p>
                    <a:fld id="{38F57607-1FE4-4041-97D6-8CA4BE000143}"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{38F57607-1FE4-4041-97D6-8CA4BE000143}</c15:txfldGUID>
                      <c15:f>'Division Stu. Prof.'!$AT$24</c15:f>
                      <c15:dlblFieldTableCache>
                        <c:ptCount val="1"/>
                      </c15:dlblFieldTableCache>
                    </c15:dlblFTEntry>
                  </c15:dlblFieldTable>
                  <c15:showDataLabelsRange val="0"/>
                </c:ext>
                <c:ext xmlns:c16="http://schemas.microsoft.com/office/drawing/2014/chart" uri="{C3380CC4-5D6E-409C-BE32-E72D297353CC}">
                  <c16:uniqueId val="{0000000A-7957-4EA2-A380-06029563295C}"/>
                </c:ext>
              </c:extLst>
            </c:dLbl>
            <c:dLbl>
              <c:idx val="3"/>
              <c:tx>
                <c:rich>
                  <a:bodyPr/>
                  <a:lstStyle/>
                  <a:p>
                    <a:fld id="{6995FCB1-236C-48BC-AA2A-EC070EEC21AC}"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{6995FCB1-236C-48BC-AA2A-EC070EEC21AC}</c15:txfldGUID>
                      <c15:f>'Division Stu. Prof.'!$AT$29</c15:f>
                      <c15:dlblFieldTableCache>
                        <c:ptCount val="1"/>
                      </c15:dlblFieldTableCache>
                    </c15:dlblFTEntry>
                  </c15:dlblFieldTable>
                  <c15:showDataLabelsRange val="0"/>
                </c:ext>
                <c:ext xmlns:c16="http://schemas.microsoft.com/office/drawing/2014/chart" uri="{C3380CC4-5D6E-409C-BE32-E72D297353CC}">
                  <c16:uniqueId val="{0000000B-7957-4EA2-A380-06029563295C}"/>
                </c:ext>
              </c:extLst>
            </c:dLbl>
            <c:dLbl>
              <c:idx val="4"/>
              <c:tx>
                <c:rich>
                  <a:bodyPr/>
                  <a:lstStyle/>
                  <a:p>
                    <a:fld id="{608DDF87-CA94-49D3-A4F5-6DF905B6ACB4}"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{608DDF87-CA94-49D3-A4F5-6DF905B6ACB4}</c15:txfldGUID>
                      <c15:f>'Division Stu. Prof.'!$AT$34</c15:f>
                      <c15:dlblFieldTableCache>
                        <c:ptCount val="1"/>
                      </c15:dlblFieldTableCache>
                    </c15:dlblFTEntry>
                  </c15:dlblFieldTable>
                  <c15:showDataLabelsRange val="0"/>
                </c:ext>
                <c:ext xmlns:c16="http://schemas.microsoft.com/office/drawing/2014/chart" uri="{C3380CC4-5D6E-409C-BE32-E72D297353CC}">
                  <c16:uniqueId val="{0000000D-7957-4EA2-A380-06029563295C}"/>
                </c:ext>
              </c:extLst>
            </c:dLbl>
            <c:dLbl>
              <c:idx val="5"/>
              <c:tx>
                <c:rich>
                  <a:bodyPr/>
                  <a:lstStyle/>
                  <a:p>
                    <a:fld id="{F19F6CFA-7F1F-45B9-B29B-B0045D3F4855}"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{F19F6CFA-7F1F-45B9-B29B-B0045D3F4855}</c15:txfldGUID>
                      <c15:f>'Division Stu. Prof.'!$AT$39</c15:f>
                      <c15:dlblFieldTableCache>
                        <c:ptCount val="1"/>
                      </c15:dlblFieldTableCache>
                    </c15:dlblFTEntry>
                  </c15:dlblFieldTable>
                  <c15:showDataLabelsRange val="0"/>
                </c:ext>
                <c:ext xmlns:c16="http://schemas.microsoft.com/office/drawing/2014/chart" uri="{C3380CC4-5D6E-409C-BE32-E72D297353CC}">
                  <c16:uniqueId val="{0000000E-7957-4EA2-A380-06029563295C}"/>
                </c:ext>
              </c:extLst>
            </c:dLbl>
            <c:dLbl>
              <c:idx val="6"/>
              <c:layout>
                <c:manualLayout>
                  <c:x val="0"/>
                  <c:y val="1.2121212121212121E-2"/>
                </c:manualLayout>
              </c:layout>
              <c:tx>
                <c:rich>
                  <a:bodyPr/>
                  <a:lstStyle/>
                  <a:p>
                    <a:fld id="{0F2EBD8A-6DD0-49CF-85B2-945F40753F90}"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{0F2EBD8A-6DD0-49CF-85B2-945F40753F90}</c15:txfldGUID>
                      <c15:f>'Division Stu. Prof.'!$AT$44</c15:f>
                      <c15:dlblFieldTableCache>
                        <c:ptCount val="1"/>
                      </c15:dlblFieldTableCache>
                    </c15:dlblFTEntry>
                  </c15:dlblFieldTable>
                  <c15:showDataLabelsRange val="0"/>
                </c:ext>
                <c:ext xmlns:c16="http://schemas.microsoft.com/office/drawing/2014/chart" uri="{C3380CC4-5D6E-409C-BE32-E72D297353CC}">
                  <c16:uniqueId val="{0000000F-7957-4EA2-A380-06029563295C}"/>
                </c:ext>
              </c:extLst>
            </c:dLbl>
            <c:dLbl>
              <c:idx val="7"/>
              <c:tx>
                <c:rich>
                  <a:bodyPr/>
                  <a:lstStyle/>
                  <a:p>
                    <a:fld id="{8D26857C-7F24-4E7A-A466-C221C24FD7E6}"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{8D26857C-7F24-4E7A-A466-C221C24FD7E6}</c15:txfldGUID>
                      <c15:f>'Division Stu. Prof.'!$AT$49</c15:f>
                      <c15:dlblFieldTableCache>
                        <c:ptCount val="1"/>
                      </c15:dlblFieldTableCache>
                    </c15:dlblFTEntry>
                  </c15:dlblFieldTable>
                  <c15:showDataLabelsRange val="0"/>
                </c:ext>
                <c:ext xmlns:c16="http://schemas.microsoft.com/office/drawing/2014/chart" uri="{C3380CC4-5D6E-409C-BE32-E72D297353CC}">
                  <c16:uniqueId val="{00000002-1898-40A9-B986-BB547D2DDA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'Division Stu. Prof.'!$BI$16:$BQ$16</c15:sqref>
                  </c15:fullRef>
                </c:ext>
              </c:extLst>
              <c:f>('Division Stu. Prof.'!$BI$16:$BL$16,'Division Stu. Prof.'!$BN$16:$BQ$16)</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Prof.'!$BI$17:$BQ$17</c15:sqref>
                  </c15:fullRef>
                </c:ext>
              </c:extLst>
              <c:f>('Division Stu. Prof.'!$BI$17:$BL$17,'Division Stu. Prof.'!$BN$17:$BQ$17)</c:f>
              <c:numCache>
                <c:formatCode>0.0%</c:formatCode>
                <c:ptCount val="8"/>
                <c:pt idx="0">
                  <c:v>0.59130434782608698</c:v>
                </c:pt>
                <c:pt idx="1">
                  <c:v>0.60709999999999997</c:v>
                </c:pt>
                <c:pt idx="2">
                  <c:v>0.64290000000000003</c:v>
                </c:pt>
                <c:pt idx="3">
                  <c:v>0.45450000000000002</c:v>
                </c:pt>
                <c:pt idx="4">
                  <c:v>0.40739999999999998</c:v>
                </c:pt>
                <c:pt idx="5">
                  <c:v>0.70369999999999999</c:v>
                </c:pt>
                <c:pt idx="6">
                  <c:v>0.70369999999999999</c:v>
                </c:pt>
                <c:pt idx="7">
                  <c:v>0.68569999999999998</c:v>
                </c:pt>
              </c:numCache>
            </c:numRef>
          </c:val>
          <c:extLst xmlns:c15="http://schemas.microsoft.com/office/drawing/2012/chart">
            <c:ext xmlns:c15="http://schemas.microsoft.com/office/drawing/2012/chart" uri="{02D57815-91ED-43cb-92C2-25804820EDAC}">
              <c15:categoryFilterExceptions>
                <c15:categoryFilterException>
                  <c15:sqref>'Division Stu. Prof.'!$BM$17</c15:sqref>
                  <c15:dLbl>
                    <c:idx val="3"/>
                    <c:delete val="1"/>
                    <c:extLst>
                      <c:ext uri="{CE6537A1-D6FC-4f65-9D91-7224C49458BB}"/>
                      <c:ext xmlns:c16="http://schemas.microsoft.com/office/drawing/2014/chart" uri="{C3380CC4-5D6E-409C-BE32-E72D297353CC}">
                        <c16:uniqueId val="{00000006-FC59-470A-8CCD-2798ED1C65E8}"/>
                      </c:ext>
                    </c:extLst>
                  </c15:dLbl>
                </c15:categoryFilterException>
              </c15:categoryFilterExceptions>
            </c:ext>
            <c:ext xmlns:c16="http://schemas.microsoft.com/office/drawing/2014/chart" uri="{C3380CC4-5D6E-409C-BE32-E72D297353CC}">
              <c16:uniqueId val="{00000000-7957-4EA2-A380-06029563295C}"/>
            </c:ext>
          </c:extLst>
        </c:ser>
        <c:ser>
          <c:idx val="1"/>
          <c:order val="1"/>
          <c:tx>
            <c:strRef>
              <c:f>'Division Stu. Prof.'!$BH$18</c:f>
              <c:strCache>
                <c:ptCount val="1"/>
                <c:pt idx="0">
                  <c:v>SubDemo 2</c:v>
                </c:pt>
              </c:strCache>
            </c:strRef>
          </c:tx>
          <c:spPr>
            <a:solidFill>
              <a:srgbClr val="C00000"/>
            </a:solidFill>
            <a:ln>
              <a:solidFill>
                <a:srgbClr val="FF0000"/>
              </a:solidFill>
            </a:ln>
            <a:effectLst/>
          </c:spPr>
          <c:invertIfNegative val="0"/>
          <c:dPt>
            <c:idx val="0"/>
            <c:invertIfNegative val="0"/>
            <c:bubble3D val="0"/>
            <c:spPr>
              <a:solidFill>
                <a:srgbClr val="C00000"/>
              </a:solidFill>
              <a:ln w="31750">
                <a:solidFill>
                  <a:srgbClr val="FF0000"/>
                </a:solidFill>
                <a:prstDash val="sysDot"/>
              </a:ln>
              <a:effectLst/>
            </c:spPr>
            <c:extLst>
              <c:ext xmlns:c16="http://schemas.microsoft.com/office/drawing/2014/chart" uri="{C3380CC4-5D6E-409C-BE32-E72D297353CC}">
                <c16:uniqueId val="{00000005-7957-4EA2-A380-06029563295C}"/>
              </c:ext>
            </c:extLst>
          </c:dPt>
          <c:cat>
            <c:strRef>
              <c:extLst>
                <c:ext xmlns:c15="http://schemas.microsoft.com/office/drawing/2012/chart" uri="{02D57815-91ED-43cb-92C2-25804820EDAC}">
                  <c15:fullRef>
                    <c15:sqref>'Division Stu. Prof.'!$BI$16:$BQ$16</c15:sqref>
                  </c15:fullRef>
                </c:ext>
              </c:extLst>
              <c:f>('Division Stu. Prof.'!$BI$16:$BL$16,'Division Stu. Prof.'!$BN$16:$BQ$16)</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Prof.'!$BI$18:$BQ$18</c15:sqref>
                  </c15:fullRef>
                </c:ext>
              </c:extLst>
              <c:f>('Division Stu. Prof.'!$BI$18:$BL$18,'Division Stu. Prof.'!$BN$18:$BQ$18)</c:f>
              <c:numCache>
                <c:formatCode>0.0%</c:formatCode>
                <c:ptCount val="8"/>
                <c:pt idx="0">
                  <c:v>0.5347826086956522</c:v>
                </c:pt>
                <c:pt idx="1">
                  <c:v>0.60709999999999997</c:v>
                </c:pt>
                <c:pt idx="2">
                  <c:v>0.55359999999999998</c:v>
                </c:pt>
                <c:pt idx="3">
                  <c:v>0.45450000000000002</c:v>
                </c:pt>
                <c:pt idx="4">
                  <c:v>0.33329999999999999</c:v>
                </c:pt>
                <c:pt idx="5">
                  <c:v>0.45829999999999999</c:v>
                </c:pt>
                <c:pt idx="6">
                  <c:v>0.59260000000000002</c:v>
                </c:pt>
                <c:pt idx="7">
                  <c:v>0.65710000000000002</c:v>
                </c:pt>
              </c:numCache>
            </c:numRef>
          </c:val>
          <c:extLst xmlns:c15="http://schemas.microsoft.com/office/drawing/2012/chart">
            <c:ext xmlns:c16="http://schemas.microsoft.com/office/drawing/2014/chart" uri="{C3380CC4-5D6E-409C-BE32-E72D297353CC}">
              <c16:uniqueId val="{00000001-7957-4EA2-A380-06029563295C}"/>
            </c:ext>
          </c:extLst>
        </c:ser>
        <c:ser>
          <c:idx val="2"/>
          <c:order val="2"/>
          <c:tx>
            <c:strRef>
              <c:f>'Division Stu. Prof.'!$BH$19</c:f>
              <c:strCache>
                <c:ptCount val="1"/>
                <c:pt idx="0">
                  <c:v>SubDemo 1 or 2</c:v>
                </c:pt>
              </c:strCache>
            </c:strRef>
          </c:tx>
          <c:spPr>
            <a:solidFill>
              <a:srgbClr val="FFC423"/>
            </a:solidFill>
            <a:ln>
              <a:solidFill>
                <a:srgbClr val="EA9A23"/>
              </a:solidFill>
              <a:prstDash val="sysDot"/>
            </a:ln>
            <a:effectLst/>
          </c:spPr>
          <c:invertIfNegative val="0"/>
          <c:dPt>
            <c:idx val="0"/>
            <c:invertIfNegative val="0"/>
            <c:bubble3D val="0"/>
            <c:spPr>
              <a:solidFill>
                <a:srgbClr val="FFC423"/>
              </a:solidFill>
              <a:ln w="31750">
                <a:solidFill>
                  <a:srgbClr val="EA9A23"/>
                </a:solidFill>
                <a:prstDash val="sysDot"/>
              </a:ln>
              <a:effectLst/>
            </c:spPr>
            <c:extLst>
              <c:ext xmlns:c16="http://schemas.microsoft.com/office/drawing/2014/chart" uri="{C3380CC4-5D6E-409C-BE32-E72D297353CC}">
                <c16:uniqueId val="{00000006-F50D-4B34-82DD-A9396E7B3381}"/>
              </c:ext>
            </c:extLst>
          </c:dPt>
          <c:cat>
            <c:strRef>
              <c:extLst>
                <c:ext xmlns:c15="http://schemas.microsoft.com/office/drawing/2012/chart" uri="{02D57815-91ED-43cb-92C2-25804820EDAC}">
                  <c15:fullRef>
                    <c15:sqref>'Division Stu. Prof.'!$BI$16:$BQ$16</c15:sqref>
                  </c15:fullRef>
                </c:ext>
              </c:extLst>
              <c:f>('Division Stu. Prof.'!$BI$16:$BL$16,'Division Stu. Prof.'!$BN$16:$BQ$16)</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Prof.'!$BI$19:$BQ$19</c15:sqref>
                  </c15:fullRef>
                </c:ext>
              </c:extLst>
              <c:f>('Division Stu. Prof.'!$BI$19:$BL$19,'Division Stu. Prof.'!$BN$19:$BQ$19)</c:f>
              <c:numCache>
                <c:formatCode>0.0%</c:formatCode>
                <c:ptCount val="8"/>
                <c:pt idx="0">
                  <c:v>0.28695652173913044</c:v>
                </c:pt>
                <c:pt idx="1">
                  <c:v>0.28570000000000001</c:v>
                </c:pt>
                <c:pt idx="2">
                  <c:v>0.25</c:v>
                </c:pt>
                <c:pt idx="3">
                  <c:v>9.0899999999999995E-2</c:v>
                </c:pt>
                <c:pt idx="4">
                  <c:v>0.22220000000000001</c:v>
                </c:pt>
                <c:pt idx="5">
                  <c:v>0.33329999999999999</c:v>
                </c:pt>
                <c:pt idx="6">
                  <c:v>0.44440000000000002</c:v>
                </c:pt>
                <c:pt idx="7">
                  <c:v>0.31430000000000002</c:v>
                </c:pt>
              </c:numCache>
            </c:numRef>
          </c:val>
          <c:extLst>
            <c:ext xmlns:c16="http://schemas.microsoft.com/office/drawing/2014/chart" uri="{C3380CC4-5D6E-409C-BE32-E72D297353CC}">
              <c16:uniqueId val="{00000006-7957-4EA2-A380-06029563295C}"/>
            </c:ext>
          </c:extLst>
        </c:ser>
        <c:dLbls>
          <c:showLegendKey val="0"/>
          <c:showVal val="0"/>
          <c:showCatName val="0"/>
          <c:showSerName val="0"/>
          <c:showPercent val="0"/>
          <c:showBubbleSize val="0"/>
        </c:dLbls>
        <c:gapWidth val="150"/>
        <c:axId val="674697448"/>
        <c:axId val="420616496"/>
      </c:barChart>
      <c:lineChart>
        <c:grouping val="standard"/>
        <c:varyColors val="0"/>
        <c:ser>
          <c:idx val="3"/>
          <c:order val="3"/>
          <c:tx>
            <c:strRef>
              <c:f>'Division Stu. Prof.'!$BH$20</c:f>
              <c:strCache>
                <c:ptCount val="1"/>
                <c:pt idx="0">
                  <c:v>Col. Avg. SubDemo 1</c:v>
                </c:pt>
              </c:strCache>
            </c:strRef>
          </c:tx>
          <c:spPr>
            <a:ln w="28575" cap="rnd">
              <a:solidFill>
                <a:schemeClr val="accent3">
                  <a:lumMod val="75000"/>
                </a:schemeClr>
              </a:solidFill>
              <a:prstDash val="sysDot"/>
              <a:round/>
            </a:ln>
            <a:effectLst/>
          </c:spPr>
          <c:marker>
            <c:symbol val="none"/>
          </c:marker>
          <c:cat>
            <c:strRef>
              <c:extLst>
                <c:ext xmlns:c15="http://schemas.microsoft.com/office/drawing/2012/chart" uri="{02D57815-91ED-43cb-92C2-25804820EDAC}">
                  <c15:fullRef>
                    <c15:sqref>'Division Stu. Prof.'!$BI$16:$BQ$16</c15:sqref>
                  </c15:fullRef>
                </c:ext>
              </c:extLst>
              <c:f>('Division Stu. Prof.'!$BI$16:$BL$16,'Division Stu. Prof.'!$BN$16:$BQ$16)</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Prof.'!$BI$20:$BQ$20</c15:sqref>
                  </c15:fullRef>
                </c:ext>
              </c:extLst>
              <c:f>('Division Stu. Prof.'!$BI$20:$BL$20,'Division Stu. Prof.'!$BN$20:$BQ$20)</c:f>
              <c:numCache>
                <c:formatCode>0.0%</c:formatCode>
                <c:ptCount val="8"/>
                <c:pt idx="0">
                  <c:v>0.59130434782608698</c:v>
                </c:pt>
                <c:pt idx="1">
                  <c:v>0.59130434782608698</c:v>
                </c:pt>
                <c:pt idx="2">
                  <c:v>0.59130434782608698</c:v>
                </c:pt>
                <c:pt idx="3">
                  <c:v>0.59130434782608698</c:v>
                </c:pt>
                <c:pt idx="4">
                  <c:v>0.59130434782608698</c:v>
                </c:pt>
                <c:pt idx="5">
                  <c:v>0.59130434782608698</c:v>
                </c:pt>
                <c:pt idx="6">
                  <c:v>0.59130434782608698</c:v>
                </c:pt>
                <c:pt idx="7">
                  <c:v>0.59130434782608698</c:v>
                </c:pt>
              </c:numCache>
            </c:numRef>
          </c:val>
          <c:smooth val="0"/>
          <c:extLst>
            <c:ext xmlns:c16="http://schemas.microsoft.com/office/drawing/2014/chart" uri="{C3380CC4-5D6E-409C-BE32-E72D297353CC}">
              <c16:uniqueId val="{00000007-7957-4EA2-A380-06029563295C}"/>
            </c:ext>
          </c:extLst>
        </c:ser>
        <c:ser>
          <c:idx val="4"/>
          <c:order val="4"/>
          <c:tx>
            <c:strRef>
              <c:f>'Division Stu. Prof.'!$BH$21</c:f>
              <c:strCache>
                <c:ptCount val="1"/>
                <c:pt idx="0">
                  <c:v>Col. Avg. SubDemo 2</c:v>
                </c:pt>
              </c:strCache>
            </c:strRef>
          </c:tx>
          <c:spPr>
            <a:ln w="28575" cap="rnd">
              <a:solidFill>
                <a:srgbClr val="C00000"/>
              </a:solidFill>
              <a:prstDash val="sysDot"/>
              <a:round/>
            </a:ln>
            <a:effectLst/>
          </c:spPr>
          <c:marker>
            <c:symbol val="none"/>
          </c:marker>
          <c:cat>
            <c:strRef>
              <c:extLst>
                <c:ext xmlns:c15="http://schemas.microsoft.com/office/drawing/2012/chart" uri="{02D57815-91ED-43cb-92C2-25804820EDAC}">
                  <c15:fullRef>
                    <c15:sqref>'Division Stu. Prof.'!$BI$16:$BQ$16</c15:sqref>
                  </c15:fullRef>
                </c:ext>
              </c:extLst>
              <c:f>('Division Stu. Prof.'!$BI$16:$BL$16,'Division Stu. Prof.'!$BN$16:$BQ$16)</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Prof.'!$BI$21:$BQ$21</c15:sqref>
                  </c15:fullRef>
                </c:ext>
              </c:extLst>
              <c:f>('Division Stu. Prof.'!$BI$21:$BL$21,'Division Stu. Prof.'!$BN$21:$BQ$21)</c:f>
              <c:numCache>
                <c:formatCode>0.0%</c:formatCode>
                <c:ptCount val="8"/>
                <c:pt idx="0">
                  <c:v>0.5347826086956522</c:v>
                </c:pt>
                <c:pt idx="1">
                  <c:v>0.5347826086956522</c:v>
                </c:pt>
                <c:pt idx="2">
                  <c:v>0.5347826086956522</c:v>
                </c:pt>
                <c:pt idx="3">
                  <c:v>0.5347826086956522</c:v>
                </c:pt>
                <c:pt idx="4">
                  <c:v>0.5347826086956522</c:v>
                </c:pt>
                <c:pt idx="5">
                  <c:v>0.5347826086956522</c:v>
                </c:pt>
                <c:pt idx="6">
                  <c:v>0.5347826086956522</c:v>
                </c:pt>
                <c:pt idx="7">
                  <c:v>0.5347826086956522</c:v>
                </c:pt>
              </c:numCache>
            </c:numRef>
          </c:val>
          <c:smooth val="0"/>
          <c:extLst>
            <c:ext xmlns:c16="http://schemas.microsoft.com/office/drawing/2014/chart" uri="{C3380CC4-5D6E-409C-BE32-E72D297353CC}">
              <c16:uniqueId val="{00000004-F50D-4B34-82DD-A9396E7B3381}"/>
            </c:ext>
          </c:extLst>
        </c:ser>
        <c:ser>
          <c:idx val="5"/>
          <c:order val="5"/>
          <c:tx>
            <c:strRef>
              <c:f>'Division Stu. Prof.'!$BH$22</c:f>
              <c:strCache>
                <c:ptCount val="1"/>
                <c:pt idx="0">
                  <c:v>Col. Avg. SubDemo 1 or 2</c:v>
                </c:pt>
              </c:strCache>
            </c:strRef>
          </c:tx>
          <c:spPr>
            <a:ln w="28575" cap="rnd">
              <a:solidFill>
                <a:srgbClr val="EA9A23"/>
              </a:solidFill>
              <a:prstDash val="sysDot"/>
              <a:round/>
            </a:ln>
            <a:effectLst/>
          </c:spPr>
          <c:marker>
            <c:symbol val="none"/>
          </c:marker>
          <c:cat>
            <c:strRef>
              <c:extLst>
                <c:ext xmlns:c15="http://schemas.microsoft.com/office/drawing/2012/chart" uri="{02D57815-91ED-43cb-92C2-25804820EDAC}">
                  <c15:fullRef>
                    <c15:sqref>'Division Stu. Prof.'!$BI$16:$BQ$16</c15:sqref>
                  </c15:fullRef>
                </c:ext>
              </c:extLst>
              <c:f>('Division Stu. Prof.'!$BI$16:$BL$16,'Division Stu. Prof.'!$BN$16:$BQ$16)</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Prof.'!$BI$22:$BQ$22</c15:sqref>
                  </c15:fullRef>
                </c:ext>
              </c:extLst>
              <c:f>('Division Stu. Prof.'!$BI$22:$BL$22,'Division Stu. Prof.'!$BN$22:$BQ$22)</c:f>
              <c:numCache>
                <c:formatCode>0.0%</c:formatCode>
                <c:ptCount val="8"/>
                <c:pt idx="0">
                  <c:v>0.28695652173913044</c:v>
                </c:pt>
                <c:pt idx="1">
                  <c:v>0.28695652173913044</c:v>
                </c:pt>
                <c:pt idx="2">
                  <c:v>0.28695652173913044</c:v>
                </c:pt>
                <c:pt idx="3">
                  <c:v>0.28695652173913044</c:v>
                </c:pt>
                <c:pt idx="4">
                  <c:v>0.28695652173913044</c:v>
                </c:pt>
                <c:pt idx="5">
                  <c:v>0.28695652173913044</c:v>
                </c:pt>
                <c:pt idx="6">
                  <c:v>0.28695652173913044</c:v>
                </c:pt>
                <c:pt idx="7">
                  <c:v>0.28695652173913044</c:v>
                </c:pt>
              </c:numCache>
            </c:numRef>
          </c:val>
          <c:smooth val="0"/>
          <c:extLst>
            <c:ext xmlns:c16="http://schemas.microsoft.com/office/drawing/2014/chart" uri="{C3380CC4-5D6E-409C-BE32-E72D297353CC}">
              <c16:uniqueId val="{00000005-F50D-4B34-82DD-A9396E7B3381}"/>
            </c:ext>
          </c:extLst>
        </c:ser>
        <c:dLbls>
          <c:showLegendKey val="0"/>
          <c:showVal val="0"/>
          <c:showCatName val="0"/>
          <c:showSerName val="0"/>
          <c:showPercent val="0"/>
          <c:showBubbleSize val="0"/>
        </c:dLbls>
        <c:marker val="1"/>
        <c:smooth val="0"/>
        <c:axId val="674697448"/>
        <c:axId val="420616496"/>
      </c:lineChart>
      <c:catAx>
        <c:axId val="67469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0616496"/>
        <c:crosses val="autoZero"/>
        <c:auto val="1"/>
        <c:lblAlgn val="ctr"/>
        <c:lblOffset val="100"/>
        <c:noMultiLvlLbl val="0"/>
      </c:catAx>
      <c:valAx>
        <c:axId val="420616496"/>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 of First-Time Cohort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97448"/>
        <c:crosses val="autoZero"/>
        <c:crossBetween val="between"/>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r>
              <a:rPr lang="en-US" sz="1600" b="0" i="0" u="none" strike="noStrike" baseline="0">
                <a:effectLst/>
              </a:rPr>
              <a:t>SubDemo 1 or 2 </a:t>
            </a:r>
            <a:r>
              <a:rPr lang="en-US" sz="1600" b="0" i="0" u="none" strike="noStrike" kern="1200" spc="0" baseline="0">
                <a:solidFill>
                  <a:sysClr val="windowText" lastClr="000000">
                    <a:lumMod val="65000"/>
                    <a:lumOff val="35000"/>
                  </a:sysClr>
                </a:solidFill>
                <a:latin typeface="+mn-lt"/>
                <a:ea typeface="+mn-ea"/>
                <a:cs typeface="+mn-cs"/>
              </a:rPr>
              <a:t>- First-Year Cohorts</a:t>
            </a:r>
          </a:p>
        </c:rich>
      </c:tx>
      <c:layout>
        <c:manualLayout>
          <c:xMode val="edge"/>
          <c:yMode val="edge"/>
          <c:x val="0.31258380446494866"/>
          <c:y val="2.4747315676449534E-2"/>
        </c:manualLayout>
      </c:layout>
      <c:overlay val="0"/>
      <c:spPr>
        <a:noFill/>
        <a:ln>
          <a:solidFill>
            <a:schemeClr val="bg2"/>
          </a:solidFill>
        </a:ln>
        <a:effectLst>
          <a:outerShdw blurRad="50800" dist="38100" dir="2700000" algn="tl" rotWithShape="0">
            <a:schemeClr val="bg1">
              <a:lumMod val="50000"/>
              <a:alpha val="40000"/>
            </a:schemeClr>
          </a:outerShdw>
        </a:effectLst>
      </c:spPr>
      <c:txPr>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'Division Stu. Prof.'!$AU$17</c:f>
              <c:strCache>
                <c:ptCount val="1"/>
                <c:pt idx="0">
                  <c:v>SubDemo 1</c:v>
                </c:pt>
              </c:strCache>
            </c:strRef>
          </c:tx>
          <c:spPr>
            <a:ln w="28575" cap="rnd">
              <a:solidFill>
                <a:srgbClr val="C00000"/>
              </a:solidFill>
              <a:round/>
            </a:ln>
            <a:effectLst/>
          </c:spPr>
          <c:marker>
            <c:symbol val="circle"/>
            <c:size val="5"/>
            <c:spPr>
              <a:solidFill>
                <a:srgbClr val="00583D"/>
              </a:solidFill>
              <a:ln w="9525">
                <a:solidFill>
                  <a:srgbClr val="234131"/>
                </a:solidFill>
              </a:ln>
              <a:effectLst/>
            </c:spPr>
          </c:marker>
          <c:cat>
            <c:strRef>
              <c:f>'Division Stu. Prof.'!$AV$16:$BB$16</c:f>
              <c:strCache>
                <c:ptCount val="7"/>
                <c:pt idx="0">
                  <c:v>FA2017</c:v>
                </c:pt>
                <c:pt idx="1">
                  <c:v>FA2018</c:v>
                </c:pt>
                <c:pt idx="2">
                  <c:v>FA2019</c:v>
                </c:pt>
                <c:pt idx="3">
                  <c:v>FA2020</c:v>
                </c:pt>
                <c:pt idx="4">
                  <c:v>FA2021</c:v>
                </c:pt>
                <c:pt idx="5">
                  <c:v>FA2022</c:v>
                </c:pt>
                <c:pt idx="6">
                  <c:v>FA2023</c:v>
                </c:pt>
              </c:strCache>
            </c:strRef>
          </c:cat>
          <c:val>
            <c:numRef>
              <c:f>'Division Stu. Prof.'!$AV$17:$BB$17</c:f>
              <c:numCache>
                <c:formatCode>0.0%</c:formatCode>
                <c:ptCount val="7"/>
                <c:pt idx="0">
                  <c:v>0.5300546448087432</c:v>
                </c:pt>
                <c:pt idx="1">
                  <c:v>0.44207317073170732</c:v>
                </c:pt>
                <c:pt idx="2">
                  <c:v>0.40468227424749165</c:v>
                </c:pt>
                <c:pt idx="3">
                  <c:v>0.43</c:v>
                </c:pt>
                <c:pt idx="4">
                  <c:v>0.44347826086956521</c:v>
                </c:pt>
                <c:pt idx="5">
                  <c:v>0.45023696682464454</c:v>
                </c:pt>
                <c:pt idx="6">
                  <c:v>0.5347826086956522</c:v>
                </c:pt>
              </c:numCache>
            </c:numRef>
          </c:val>
          <c:smooth val="0"/>
          <c:extLst xmlns:c15="http://schemas.microsoft.com/office/drawing/2012/chart">
            <c:ext xmlns:c16="http://schemas.microsoft.com/office/drawing/2014/chart" uri="{C3380CC4-5D6E-409C-BE32-E72D297353CC}">
              <c16:uniqueId val="{00000006-6168-4103-8864-3EE22534BB9E}"/>
            </c:ext>
          </c:extLst>
        </c:ser>
        <c:ser>
          <c:idx val="1"/>
          <c:order val="1"/>
          <c:tx>
            <c:strRef>
              <c:f>'Division Stu. Prof.'!$AU$18</c:f>
              <c:strCache>
                <c:ptCount val="1"/>
                <c:pt idx="0">
                  <c:v>SubDemo 2</c:v>
                </c:pt>
              </c:strCache>
            </c:strRef>
          </c:tx>
          <c:spPr>
            <a:ln w="28575" cap="rnd">
              <a:solidFill>
                <a:srgbClr val="FFC423"/>
              </a:solidFill>
              <a:round/>
            </a:ln>
            <a:effectLst/>
          </c:spPr>
          <c:marker>
            <c:symbol val="circle"/>
            <c:size val="5"/>
            <c:spPr>
              <a:solidFill>
                <a:srgbClr val="FFC423"/>
              </a:solidFill>
              <a:ln w="9525">
                <a:solidFill>
                  <a:srgbClr val="EA9A23"/>
                </a:solidFill>
              </a:ln>
              <a:effectLst/>
            </c:spPr>
          </c:marker>
          <c:cat>
            <c:strRef>
              <c:f>'Division Stu. Prof.'!$AV$16:$BB$16</c:f>
              <c:strCache>
                <c:ptCount val="7"/>
                <c:pt idx="0">
                  <c:v>FA2017</c:v>
                </c:pt>
                <c:pt idx="1">
                  <c:v>FA2018</c:v>
                </c:pt>
                <c:pt idx="2">
                  <c:v>FA2019</c:v>
                </c:pt>
                <c:pt idx="3">
                  <c:v>FA2020</c:v>
                </c:pt>
                <c:pt idx="4">
                  <c:v>FA2021</c:v>
                </c:pt>
                <c:pt idx="5">
                  <c:v>FA2022</c:v>
                </c:pt>
                <c:pt idx="6">
                  <c:v>FA2023</c:v>
                </c:pt>
              </c:strCache>
            </c:strRef>
          </c:cat>
          <c:val>
            <c:numRef>
              <c:f>'Division Stu. Prof.'!$AV$18:$BB$18</c:f>
              <c:numCache>
                <c:formatCode>0.0%</c:formatCode>
                <c:ptCount val="7"/>
                <c:pt idx="0">
                  <c:v>0.32240437158469948</c:v>
                </c:pt>
                <c:pt idx="1">
                  <c:v>0.25609756097560976</c:v>
                </c:pt>
                <c:pt idx="2">
                  <c:v>0.28093645484949831</c:v>
                </c:pt>
                <c:pt idx="3">
                  <c:v>0.25333333333333335</c:v>
                </c:pt>
                <c:pt idx="4">
                  <c:v>0.28695652173913044</c:v>
                </c:pt>
                <c:pt idx="5">
                  <c:v>0.27488151658767773</c:v>
                </c:pt>
                <c:pt idx="6">
                  <c:v>0.28695652173913044</c:v>
                </c:pt>
              </c:numCache>
            </c:numRef>
          </c:val>
          <c:smooth val="0"/>
          <c:extLst xmlns:c15="http://schemas.microsoft.com/office/drawing/2012/chart">
            <c:ext xmlns:c16="http://schemas.microsoft.com/office/drawing/2014/chart" uri="{C3380CC4-5D6E-409C-BE32-E72D297353CC}">
              <c16:uniqueId val="{00000007-6168-4103-8864-3EE22534BB9E}"/>
            </c:ext>
          </c:extLst>
        </c:ser>
        <c:ser>
          <c:idx val="2"/>
          <c:order val="2"/>
          <c:tx>
            <c:strRef>
              <c:f>'Division Stu. Prof.'!$AU$19</c:f>
              <c:strCache>
                <c:ptCount val="1"/>
                <c:pt idx="0">
                  <c:v>SubDemo 1 or 2</c:v>
                </c:pt>
              </c:strCache>
            </c:strRef>
          </c:tx>
          <c:spPr>
            <a:ln w="28575" cap="rnd">
              <a:solidFill>
                <a:schemeClr val="accent3"/>
              </a:solidFill>
              <a:round/>
            </a:ln>
            <a:effectLst/>
          </c:spPr>
          <c:marker>
            <c:symbol val="diamond"/>
            <c:size val="7"/>
            <c:spPr>
              <a:solidFill>
                <a:schemeClr val="accent3"/>
              </a:solidFill>
              <a:ln w="9525">
                <a:solidFill>
                  <a:schemeClr val="accent3">
                    <a:lumMod val="75000"/>
                  </a:schemeClr>
                </a:solidFill>
              </a:ln>
              <a:effectLst/>
            </c:spPr>
          </c:marker>
          <c:cat>
            <c:strRef>
              <c:f>'Division Stu. Prof.'!$AV$16:$BB$16</c:f>
              <c:strCache>
                <c:ptCount val="7"/>
                <c:pt idx="0">
                  <c:v>FA2017</c:v>
                </c:pt>
                <c:pt idx="1">
                  <c:v>FA2018</c:v>
                </c:pt>
                <c:pt idx="2">
                  <c:v>FA2019</c:v>
                </c:pt>
                <c:pt idx="3">
                  <c:v>FA2020</c:v>
                </c:pt>
                <c:pt idx="4">
                  <c:v>FA2021</c:v>
                </c:pt>
                <c:pt idx="5">
                  <c:v>FA2022</c:v>
                </c:pt>
                <c:pt idx="6">
                  <c:v>FA2023</c:v>
                </c:pt>
              </c:strCache>
            </c:strRef>
          </c:cat>
          <c:val>
            <c:numRef>
              <c:f>'Division Stu. Prof.'!$AV$19:$BB$19</c:f>
              <c:numCache>
                <c:formatCode>0.0%</c:formatCode>
                <c:ptCount val="7"/>
                <c:pt idx="0">
                  <c:v>0.62568306010928965</c:v>
                </c:pt>
                <c:pt idx="1">
                  <c:v>0.50609756097560976</c:v>
                </c:pt>
                <c:pt idx="2">
                  <c:v>0.52173913043478259</c:v>
                </c:pt>
                <c:pt idx="3">
                  <c:v>0.52</c:v>
                </c:pt>
                <c:pt idx="4">
                  <c:v>0.52173913043478259</c:v>
                </c:pt>
                <c:pt idx="5">
                  <c:v>0.53554502369668244</c:v>
                </c:pt>
                <c:pt idx="6">
                  <c:v>0.59130434782608698</c:v>
                </c:pt>
              </c:numCache>
            </c:numRef>
          </c:val>
          <c:smooth val="0"/>
          <c:extLst>
            <c:ext xmlns:c16="http://schemas.microsoft.com/office/drawing/2014/chart" uri="{C3380CC4-5D6E-409C-BE32-E72D297353CC}">
              <c16:uniqueId val="{00000000-6168-4103-8864-3EE22534BB9E}"/>
            </c:ext>
          </c:extLst>
        </c:ser>
        <c:dLbls>
          <c:showLegendKey val="0"/>
          <c:showVal val="0"/>
          <c:showCatName val="0"/>
          <c:showSerName val="0"/>
          <c:showPercent val="0"/>
          <c:showBubbleSize val="0"/>
        </c:dLbls>
        <c:marker val="1"/>
        <c:smooth val="0"/>
        <c:axId val="674697448"/>
        <c:axId val="420616496"/>
      </c:lineChart>
      <c:catAx>
        <c:axId val="67469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0616496"/>
        <c:crosses val="autoZero"/>
        <c:auto val="1"/>
        <c:lblAlgn val="ctr"/>
        <c:lblOffset val="100"/>
        <c:noMultiLvlLbl val="0"/>
      </c:catAx>
      <c:valAx>
        <c:axId val="420616496"/>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First-Time Cohort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97448"/>
        <c:crosses val="autoZero"/>
        <c:crossBetween val="between"/>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FA17-FA23 Avg - Student Population - SubDemo 1 or 2- FTIC - Divisions</a:t>
            </a:r>
          </a:p>
        </c:rich>
      </c:tx>
      <c:layout>
        <c:manualLayout>
          <c:xMode val="edge"/>
          <c:yMode val="edge"/>
          <c:x val="0.15258822192554464"/>
          <c:y val="2.4747315676449534E-2"/>
        </c:manualLayout>
      </c:layout>
      <c:overlay val="0"/>
      <c:spPr>
        <a:noFill/>
        <a:ln>
          <a:solidFill>
            <a:schemeClr val="bg2"/>
          </a:solidFill>
        </a:ln>
        <a:effectLst>
          <a:outerShdw blurRad="50800" dist="38100" dir="2700000" algn="tl" rotWithShape="0">
            <a:schemeClr val="bg1">
              <a:lumMod val="50000"/>
              <a:alpha val="40000"/>
            </a:schemeClr>
          </a:outerShdw>
        </a:effectLst>
      </c:spPr>
      <c:txPr>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'Division Stu. Prof.'!$BH$52</c:f>
              <c:strCache>
                <c:ptCount val="1"/>
                <c:pt idx="0">
                  <c:v>SubDemo 1</c:v>
                </c:pt>
              </c:strCache>
            </c:strRef>
          </c:tx>
          <c:spPr>
            <a:solidFill>
              <a:schemeClr val="accent3"/>
            </a:solidFill>
            <a:ln>
              <a:noFill/>
            </a:ln>
            <a:effectLst/>
          </c:spPr>
          <c:invertIfNegative val="0"/>
          <c:dPt>
            <c:idx val="0"/>
            <c:invertIfNegative val="0"/>
            <c:bubble3D val="0"/>
            <c:spPr>
              <a:solidFill>
                <a:schemeClr val="accent3"/>
              </a:solidFill>
              <a:ln w="31750">
                <a:solidFill>
                  <a:schemeClr val="accent3">
                    <a:lumMod val="75000"/>
                  </a:schemeClr>
                </a:solidFill>
                <a:prstDash val="sysDot"/>
              </a:ln>
              <a:effectLst/>
            </c:spPr>
            <c:extLst>
              <c:ext xmlns:c16="http://schemas.microsoft.com/office/drawing/2014/chart" uri="{C3380CC4-5D6E-409C-BE32-E72D297353CC}">
                <c16:uniqueId val="{00000001-6773-42A0-B342-4079F4D3409C}"/>
              </c:ext>
            </c:extLst>
          </c:dPt>
          <c:dLbls>
            <c:dLbl>
              <c:idx val="0"/>
              <c:tx>
                <c:rich>
                  <a:bodyPr/>
                  <a:lstStyle/>
                  <a:p>
                    <a:fld id="{5A5D514D-AA45-486D-984F-08C8D9EB11F5}"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{5A5D514D-AA45-486D-984F-08C8D9EB11F5}</c15:txfldGUID>
                      <c15:f>'Division Stu. Prof.'!$BS$58</c15:f>
                      <c15:dlblFieldTableCache>
                        <c:ptCount val="1"/>
                      </c15:dlblFieldTableCache>
                    </c15:dlblFTEntry>
                  </c15:dlblFieldTable>
                  <c15:showDataLabelsRange val="0"/>
                </c:ext>
                <c:ext xmlns:c16="http://schemas.microsoft.com/office/drawing/2014/chart" uri="{C3380CC4-5D6E-409C-BE32-E72D297353CC}">
                  <c16:uniqueId val="{00000001-6773-42A0-B342-4079F4D3409C}"/>
                </c:ext>
              </c:extLst>
            </c:dLbl>
            <c:dLbl>
              <c:idx val="1"/>
              <c:tx>
                <c:rich>
                  <a:bodyPr/>
                  <a:lstStyle/>
                  <a:p>
                    <a:fld id="{E81BF2A1-0B9E-4A2F-8843-EDEC2DFEFA36}"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{E81BF2A1-0B9E-4A2F-8843-EDEC2DFEFA36}</c15:txfldGUID>
                      <c15:f>'Division Stu. Prof.'!$BS$50</c15:f>
                      <c15:dlblFieldTableCache>
                        <c:ptCount val="1"/>
                      </c15:dlblFieldTableCache>
                    </c15:dlblFTEntry>
                  </c15:dlblFieldTable>
                  <c15:showDataLabelsRange val="0"/>
                </c:ext>
                <c:ext xmlns:c16="http://schemas.microsoft.com/office/drawing/2014/chart" uri="{C3380CC4-5D6E-409C-BE32-E72D297353CC}">
                  <c16:uniqueId val="{00000002-6773-42A0-B342-4079F4D3409C}"/>
                </c:ext>
              </c:extLst>
            </c:dLbl>
            <c:dLbl>
              <c:idx val="2"/>
              <c:tx>
                <c:rich>
                  <a:bodyPr/>
                  <a:lstStyle/>
                  <a:p>
                    <a:fld id="{3BCBBF4B-29F7-4A3B-8E15-58186D016E28}"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{3BCBBF4B-29F7-4A3B-8E15-58186D016E28}</c15:txfldGUID>
                      <c15:f>'Division Stu. Prof.'!$BS$51</c15:f>
                      <c15:dlblFieldTableCache>
                        <c:ptCount val="1"/>
                      </c15:dlblFieldTableCache>
                    </c15:dlblFTEntry>
                  </c15:dlblFieldTable>
                  <c15:showDataLabelsRange val="0"/>
                </c:ext>
                <c:ext xmlns:c16="http://schemas.microsoft.com/office/drawing/2014/chart" uri="{C3380CC4-5D6E-409C-BE32-E72D297353CC}">
                  <c16:uniqueId val="{00000003-6773-42A0-B342-4079F4D3409C}"/>
                </c:ext>
              </c:extLst>
            </c:dLbl>
            <c:dLbl>
              <c:idx val="3"/>
              <c:tx>
                <c:rich>
                  <a:bodyPr/>
                  <a:lstStyle/>
                  <a:p>
                    <a:fld id="{C9E236C3-D7FB-4B4C-875F-C84DE4C1F1A2}"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{C9E236C3-D7FB-4B4C-875F-C84DE4C1F1A2}</c15:txfldGUID>
                      <c15:f>'Division Stu. Prof.'!$BS$52</c15:f>
                      <c15:dlblFieldTableCache>
                        <c:ptCount val="1"/>
                      </c15:dlblFieldTableCache>
                    </c15:dlblFTEntry>
                  </c15:dlblFieldTable>
                  <c15:showDataLabelsRange val="0"/>
                </c:ext>
                <c:ext xmlns:c16="http://schemas.microsoft.com/office/drawing/2014/chart" uri="{C3380CC4-5D6E-409C-BE32-E72D297353CC}">
                  <c16:uniqueId val="{00000004-6773-42A0-B342-4079F4D3409C}"/>
                </c:ext>
              </c:extLst>
            </c:dLbl>
            <c:dLbl>
              <c:idx val="4"/>
              <c:tx>
                <c:rich>
                  <a:bodyPr/>
                  <a:lstStyle/>
                  <a:p>
                    <a:fld id="{1F1775CD-88D2-4EA2-9DF7-E7F41257A6CB}"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{1F1775CD-88D2-4EA2-9DF7-E7F41257A6CB}</c15:txfldGUID>
                      <c15:f>'Division Stu. Prof.'!$BS$55</c15:f>
                      <c15:dlblFieldTableCache>
                        <c:ptCount val="1"/>
                      </c15:dlblFieldTableCache>
                    </c15:dlblFTEntry>
                  </c15:dlblFieldTable>
                  <c15:showDataLabelsRange val="0"/>
                </c:ext>
                <c:ext xmlns:c16="http://schemas.microsoft.com/office/drawing/2014/chart" uri="{C3380CC4-5D6E-409C-BE32-E72D297353CC}">
                  <c16:uniqueId val="{00000006-6773-42A0-B342-4079F4D3409C}"/>
                </c:ext>
              </c:extLst>
            </c:dLbl>
            <c:dLbl>
              <c:idx val="5"/>
              <c:tx>
                <c:rich>
                  <a:bodyPr/>
                  <a:lstStyle/>
                  <a:p>
                    <a:fld id="{3BDBE119-9884-4DF7-9B01-269298732061}"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{3BDBE119-9884-4DF7-9B01-269298732061}</c15:txfldGUID>
                      <c15:f>'Division Stu. Prof.'!$BS$56</c15:f>
                      <c15:dlblFieldTableCache>
                        <c:ptCount val="1"/>
                      </c15:dlblFieldTableCache>
                    </c15:dlblFTEntry>
                  </c15:dlblFieldTable>
                  <c15:showDataLabelsRange val="0"/>
                </c:ext>
                <c:ext xmlns:c16="http://schemas.microsoft.com/office/drawing/2014/chart" uri="{C3380CC4-5D6E-409C-BE32-E72D297353CC}">
                  <c16:uniqueId val="{00000007-6773-42A0-B342-4079F4D3409C}"/>
                </c:ext>
              </c:extLst>
            </c:dLbl>
            <c:dLbl>
              <c:idx val="6"/>
              <c:tx>
                <c:rich>
                  <a:bodyPr/>
                  <a:lstStyle/>
                  <a:p>
                    <a:fld id="{6335B11E-901B-4E09-906E-C12AEFFAC889}"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{6335B11E-901B-4E09-906E-C12AEFFAC889}</c15:txfldGUID>
                      <c15:f>'Division Stu. Prof.'!$BS$57</c15:f>
                      <c15:dlblFieldTableCache>
                        <c:ptCount val="1"/>
                      </c15:dlblFieldTableCache>
                    </c15:dlblFTEntry>
                  </c15:dlblFieldTable>
                  <c15:showDataLabelsRange val="0"/>
                </c:ext>
                <c:ext xmlns:c16="http://schemas.microsoft.com/office/drawing/2014/chart" uri="{C3380CC4-5D6E-409C-BE32-E72D297353CC}">
                  <c16:uniqueId val="{00000008-6773-42A0-B342-4079F4D3409C}"/>
                </c:ext>
              </c:extLst>
            </c:dLbl>
            <c:dLbl>
              <c:idx val="7"/>
              <c:delete val="1"/>
              <c:extLst>
                <c:ext xmlns:c15="http://schemas.microsoft.com/office/drawing/2012/chart" uri="{CE6537A1-D6FC-4f65-9D91-7224C49458BB}"/>
                <c:ext xmlns:c16="http://schemas.microsoft.com/office/drawing/2014/chart" uri="{C3380CC4-5D6E-409C-BE32-E72D297353CC}">
                  <c16:uniqueId val="{00000007-4D6A-4602-8FC5-B8706C3193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'Division Stu. Prof.'!$BI$51:$BQ$51</c15:sqref>
                  </c15:fullRef>
                </c:ext>
              </c:extLst>
              <c:f>('Division Stu. Prof.'!$BI$51:$BL$51,'Division Stu. Prof.'!$BN$51:$BQ$51)</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Prof.'!$BI$52:$BQ$52</c15:sqref>
                  </c15:fullRef>
                </c:ext>
              </c:extLst>
              <c:f>('Division Stu. Prof.'!$BI$52:$BL$52,'Division Stu. Prof.'!$BN$52:$BQ$52)</c:f>
              <c:numCache>
                <c:formatCode>0.0%</c:formatCode>
                <c:ptCount val="8"/>
                <c:pt idx="0">
                  <c:v>0.54591577879249109</c:v>
                </c:pt>
                <c:pt idx="1">
                  <c:v>0.38461538461538464</c:v>
                </c:pt>
                <c:pt idx="2">
                  <c:v>0.56595744680851068</c:v>
                </c:pt>
                <c:pt idx="3">
                  <c:v>0.57541899441340782</c:v>
                </c:pt>
                <c:pt idx="4">
                  <c:v>0.53696498054474706</c:v>
                </c:pt>
                <c:pt idx="5">
                  <c:v>0.56355932203389836</c:v>
                </c:pt>
                <c:pt idx="6">
                  <c:v>0.59748427672955973</c:v>
                </c:pt>
                <c:pt idx="7">
                  <c:v>0.61654135338345861</c:v>
                </c:pt>
              </c:numCache>
            </c:numRef>
          </c:val>
          <c:extLst xmlns:c15="http://schemas.microsoft.com/office/drawing/2012/chart">
            <c:ext xmlns:c15="http://schemas.microsoft.com/office/drawing/2012/chart" uri="{02D57815-91ED-43cb-92C2-25804820EDAC}">
              <c15:categoryFilterExceptions>
                <c15:categoryFilterException>
                  <c15:sqref>'Division Stu. Prof.'!$BM$52</c15:sqref>
                  <c15:dLbl>
                    <c:idx val="3"/>
                    <c:layout>
                      <c:manualLayout>
                        <c:x val="0"/>
                        <c:y val="1.8181818181818181E-2"/>
                      </c:manualLayout>
                    </c:layout>
                    <c:tx>
                      <c:rich>
                        <a:bodyPr/>
                        <a:lstStyle/>
                        <a:p>
                          <a:fld id="{FA0BEF8E-D0A8-4A65-BCBF-6B5D98803149}" type="CELLREF">
                            <a:rPr lang="en-US"/>
                            <a:pPr/>
                            <a:t>[CELLREF]</a:t>
                          </a:fld>
                          <a:endParaRPr lang="en-US"/>
                        </a:p>
                      </c:rich>
                    </c:tx>
                    <c:showLegendKey val="0"/>
                    <c:showVal val="1"/>
                    <c:showCatName val="0"/>
                    <c:showSerName val="0"/>
                    <c:showPercent val="0"/>
                    <c:showBubbleSize val="0"/>
                    <c:extLst>
                      <c:ext uri="{CE6537A1-D6FC-4f65-9D91-7224C49458BB}">
                        <c15:dlblFieldTable>
                          <c15:dlblFTEntry>
                            <c15:txfldGUID>{FA0BEF8E-D0A8-4A65-BCBF-6B5D98803149}</c15:txfldGUID>
                            <c15:f>'Division Stu. Prof.'!$BS$45</c15:f>
                            <c15:dlblFieldTableCache>
                              <c:ptCount val="1"/>
                            </c15:dlblFieldTableCache>
                          </c15:dlblFTEntry>
                        </c15:dlblFieldTable>
                        <c15:showDataLabelsRange val="0"/>
                      </c:ext>
                      <c:ext xmlns:c16="http://schemas.microsoft.com/office/drawing/2014/chart" uri="{C3380CC4-5D6E-409C-BE32-E72D297353CC}">
                        <c16:uniqueId val="{00000006-165B-48BE-997F-2C439EB57454}"/>
                      </c:ext>
                    </c:extLst>
                  </c15:dLbl>
                </c15:categoryFilterException>
              </c15:categoryFilterExceptions>
            </c:ext>
            <c:ext xmlns:c16="http://schemas.microsoft.com/office/drawing/2014/chart" uri="{C3380CC4-5D6E-409C-BE32-E72D297353CC}">
              <c16:uniqueId val="{00000009-6773-42A0-B342-4079F4D3409C}"/>
            </c:ext>
          </c:extLst>
        </c:ser>
        <c:ser>
          <c:idx val="1"/>
          <c:order val="1"/>
          <c:tx>
            <c:strRef>
              <c:f>'Division Stu. Prof.'!$BH$53</c:f>
              <c:strCache>
                <c:ptCount val="1"/>
                <c:pt idx="0">
                  <c:v>SubDemo 2</c:v>
                </c:pt>
              </c:strCache>
            </c:strRef>
          </c:tx>
          <c:spPr>
            <a:solidFill>
              <a:srgbClr val="C00000"/>
            </a:solidFill>
            <a:ln>
              <a:solidFill>
                <a:srgbClr val="FF0000"/>
              </a:solidFill>
            </a:ln>
            <a:effectLst/>
          </c:spPr>
          <c:invertIfNegative val="0"/>
          <c:dPt>
            <c:idx val="0"/>
            <c:invertIfNegative val="0"/>
            <c:bubble3D val="0"/>
            <c:spPr>
              <a:solidFill>
                <a:srgbClr val="C00000"/>
              </a:solidFill>
              <a:ln w="31750">
                <a:solidFill>
                  <a:srgbClr val="FF0000"/>
                </a:solidFill>
                <a:prstDash val="sysDot"/>
              </a:ln>
              <a:effectLst/>
            </c:spPr>
            <c:extLst>
              <c:ext xmlns:c16="http://schemas.microsoft.com/office/drawing/2014/chart" uri="{C3380CC4-5D6E-409C-BE32-E72D297353CC}">
                <c16:uniqueId val="{0000000B-6773-42A0-B342-4079F4D3409C}"/>
              </c:ext>
            </c:extLst>
          </c:dPt>
          <c:cat>
            <c:strRef>
              <c:extLst>
                <c:ext xmlns:c15="http://schemas.microsoft.com/office/drawing/2012/chart" uri="{02D57815-91ED-43cb-92C2-25804820EDAC}">
                  <c15:fullRef>
                    <c15:sqref>'Division Stu. Prof.'!$BI$51:$BQ$51</c15:sqref>
                  </c15:fullRef>
                </c:ext>
              </c:extLst>
              <c:f>('Division Stu. Prof.'!$BI$51:$BL$51,'Division Stu. Prof.'!$BN$51:$BQ$51)</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Prof.'!$BI$53:$BQ$53</c15:sqref>
                  </c15:fullRef>
                </c:ext>
              </c:extLst>
              <c:f>('Division Stu. Prof.'!$BI$53:$BL$53,'Division Stu. Prof.'!$BN$53:$BQ$53)</c:f>
              <c:numCache>
                <c:formatCode>0.0%</c:formatCode>
                <c:ptCount val="8"/>
                <c:pt idx="0">
                  <c:v>0.46118721461187212</c:v>
                </c:pt>
                <c:pt idx="1">
                  <c:v>0.31772575250836121</c:v>
                </c:pt>
                <c:pt idx="2">
                  <c:v>0.47872340425531917</c:v>
                </c:pt>
                <c:pt idx="3">
                  <c:v>0.48603351955307261</c:v>
                </c:pt>
                <c:pt idx="4">
                  <c:v>0.42023346303501946</c:v>
                </c:pt>
                <c:pt idx="5">
                  <c:v>0.48728813559322032</c:v>
                </c:pt>
                <c:pt idx="6">
                  <c:v>0.50314465408805031</c:v>
                </c:pt>
                <c:pt idx="7">
                  <c:v>0.53759398496240607</c:v>
                </c:pt>
              </c:numCache>
            </c:numRef>
          </c:val>
          <c:extLst xmlns:c15="http://schemas.microsoft.com/office/drawing/2012/chart">
            <c:ext xmlns:c16="http://schemas.microsoft.com/office/drawing/2014/chart" uri="{C3380CC4-5D6E-409C-BE32-E72D297353CC}">
              <c16:uniqueId val="{0000000C-6773-42A0-B342-4079F4D3409C}"/>
            </c:ext>
          </c:extLst>
        </c:ser>
        <c:ser>
          <c:idx val="2"/>
          <c:order val="2"/>
          <c:tx>
            <c:strRef>
              <c:f>'Division Stu. Prof.'!$BH$54</c:f>
              <c:strCache>
                <c:ptCount val="1"/>
                <c:pt idx="0">
                  <c:v>SubDemo 1 or 2</c:v>
                </c:pt>
              </c:strCache>
            </c:strRef>
          </c:tx>
          <c:spPr>
            <a:solidFill>
              <a:srgbClr val="FFC423"/>
            </a:solidFill>
            <a:ln>
              <a:solidFill>
                <a:srgbClr val="FFC423"/>
              </a:solidFill>
              <a:prstDash val="sysDot"/>
            </a:ln>
            <a:effectLst/>
          </c:spPr>
          <c:invertIfNegative val="0"/>
          <c:dPt>
            <c:idx val="0"/>
            <c:invertIfNegative val="0"/>
            <c:bubble3D val="0"/>
            <c:spPr>
              <a:solidFill>
                <a:srgbClr val="FFC423"/>
              </a:solidFill>
              <a:ln w="31750">
                <a:solidFill>
                  <a:srgbClr val="EA9A23"/>
                </a:solidFill>
                <a:prstDash val="sysDot"/>
              </a:ln>
              <a:effectLst/>
            </c:spPr>
            <c:extLst>
              <c:ext xmlns:c16="http://schemas.microsoft.com/office/drawing/2014/chart" uri="{C3380CC4-5D6E-409C-BE32-E72D297353CC}">
                <c16:uniqueId val="{00000006-F493-4A4F-86EF-201AF32CE44D}"/>
              </c:ext>
            </c:extLst>
          </c:dPt>
          <c:cat>
            <c:strRef>
              <c:extLst>
                <c:ext xmlns:c15="http://schemas.microsoft.com/office/drawing/2012/chart" uri="{02D57815-91ED-43cb-92C2-25804820EDAC}">
                  <c15:fullRef>
                    <c15:sqref>'Division Stu. Prof.'!$BI$51:$BQ$51</c15:sqref>
                  </c15:fullRef>
                </c:ext>
              </c:extLst>
              <c:f>('Division Stu. Prof.'!$BI$51:$BL$51,'Division Stu. Prof.'!$BN$51:$BQ$51)</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Prof.'!$BI$54:$BQ$54</c15:sqref>
                  </c15:fullRef>
                </c:ext>
              </c:extLst>
              <c:f>('Division Stu. Prof.'!$BI$54:$BL$54,'Division Stu. Prof.'!$BN$54:$BQ$54)</c:f>
              <c:numCache>
                <c:formatCode>0.0%</c:formatCode>
                <c:ptCount val="8"/>
                <c:pt idx="0">
                  <c:v>0.28006088280060881</c:v>
                </c:pt>
                <c:pt idx="1">
                  <c:v>0.1806020066889632</c:v>
                </c:pt>
                <c:pt idx="2">
                  <c:v>0.27021276595744681</c:v>
                </c:pt>
                <c:pt idx="3">
                  <c:v>0.29050279329608941</c:v>
                </c:pt>
                <c:pt idx="4">
                  <c:v>0.30739299610894943</c:v>
                </c:pt>
                <c:pt idx="5">
                  <c:v>0.32203389830508472</c:v>
                </c:pt>
                <c:pt idx="6">
                  <c:v>0.30188679245283018</c:v>
                </c:pt>
                <c:pt idx="7">
                  <c:v>0.31578947368421051</c:v>
                </c:pt>
              </c:numCache>
            </c:numRef>
          </c:val>
          <c:extLst>
            <c:ext xmlns:c16="http://schemas.microsoft.com/office/drawing/2014/chart" uri="{C3380CC4-5D6E-409C-BE32-E72D297353CC}">
              <c16:uniqueId val="{0000000D-6773-42A0-B342-4079F4D3409C}"/>
            </c:ext>
          </c:extLst>
        </c:ser>
        <c:dLbls>
          <c:showLegendKey val="0"/>
          <c:showVal val="0"/>
          <c:showCatName val="0"/>
          <c:showSerName val="0"/>
          <c:showPercent val="0"/>
          <c:showBubbleSize val="0"/>
        </c:dLbls>
        <c:gapWidth val="150"/>
        <c:axId val="674697448"/>
        <c:axId val="420616496"/>
      </c:barChart>
      <c:lineChart>
        <c:grouping val="standard"/>
        <c:varyColors val="0"/>
        <c:ser>
          <c:idx val="3"/>
          <c:order val="3"/>
          <c:tx>
            <c:strRef>
              <c:f>'Division Stu. Prof.'!$BH$55</c:f>
              <c:strCache>
                <c:ptCount val="1"/>
                <c:pt idx="0">
                  <c:v>Col. Avg. SubDemo 1</c:v>
                </c:pt>
              </c:strCache>
            </c:strRef>
          </c:tx>
          <c:spPr>
            <a:ln w="28575" cap="rnd">
              <a:solidFill>
                <a:schemeClr val="accent3">
                  <a:lumMod val="75000"/>
                </a:schemeClr>
              </a:solidFill>
              <a:prstDash val="sysDot"/>
              <a:round/>
            </a:ln>
            <a:effectLst/>
          </c:spPr>
          <c:marker>
            <c:symbol val="none"/>
          </c:marker>
          <c:cat>
            <c:strRef>
              <c:extLst>
                <c:ext xmlns:c15="http://schemas.microsoft.com/office/drawing/2012/chart" uri="{02D57815-91ED-43cb-92C2-25804820EDAC}">
                  <c15:fullRef>
                    <c15:sqref>'Division Stu. Prof.'!$BI$51:$BQ$51</c15:sqref>
                  </c15:fullRef>
                </c:ext>
              </c:extLst>
              <c:f>('Division Stu. Prof.'!$BI$51:$BL$51,'Division Stu. Prof.'!$BN$51:$BQ$51)</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Prof.'!$BI$55:$BQ$55</c15:sqref>
                  </c15:fullRef>
                </c:ext>
              </c:extLst>
              <c:f>('Division Stu. Prof.'!$BI$55:$BL$55,'Division Stu. Prof.'!$BN$55:$BQ$55)</c:f>
              <c:numCache>
                <c:formatCode>0.0%</c:formatCode>
                <c:ptCount val="8"/>
                <c:pt idx="0">
                  <c:v>0.54591577879249109</c:v>
                </c:pt>
                <c:pt idx="1">
                  <c:v>0.54591577879249109</c:v>
                </c:pt>
                <c:pt idx="2">
                  <c:v>0.54591577879249109</c:v>
                </c:pt>
                <c:pt idx="3">
                  <c:v>0.54591577879249109</c:v>
                </c:pt>
                <c:pt idx="4">
                  <c:v>0.54591577879249109</c:v>
                </c:pt>
                <c:pt idx="5">
                  <c:v>0.54591577879249109</c:v>
                </c:pt>
                <c:pt idx="6">
                  <c:v>0.54591577879249109</c:v>
                </c:pt>
                <c:pt idx="7">
                  <c:v>0.54591577879249109</c:v>
                </c:pt>
              </c:numCache>
            </c:numRef>
          </c:val>
          <c:smooth val="0"/>
          <c:extLst>
            <c:ext xmlns:c16="http://schemas.microsoft.com/office/drawing/2014/chart" uri="{C3380CC4-5D6E-409C-BE32-E72D297353CC}">
              <c16:uniqueId val="{0000000E-6773-42A0-B342-4079F4D3409C}"/>
            </c:ext>
          </c:extLst>
        </c:ser>
        <c:ser>
          <c:idx val="4"/>
          <c:order val="4"/>
          <c:tx>
            <c:strRef>
              <c:f>'Division Stu. Prof.'!$BH$56</c:f>
              <c:strCache>
                <c:ptCount val="1"/>
                <c:pt idx="0">
                  <c:v>Col. Avg. SubDemo 2</c:v>
                </c:pt>
              </c:strCache>
            </c:strRef>
          </c:tx>
          <c:spPr>
            <a:ln w="28575" cap="rnd">
              <a:solidFill>
                <a:srgbClr val="C00000"/>
              </a:solidFill>
              <a:prstDash val="sysDot"/>
              <a:round/>
            </a:ln>
            <a:effectLst/>
          </c:spPr>
          <c:marker>
            <c:symbol val="none"/>
          </c:marker>
          <c:cat>
            <c:strRef>
              <c:extLst>
                <c:ext xmlns:c15="http://schemas.microsoft.com/office/drawing/2012/chart" uri="{02D57815-91ED-43cb-92C2-25804820EDAC}">
                  <c15:fullRef>
                    <c15:sqref>'Division Stu. Prof.'!$BI$51:$BQ$51</c15:sqref>
                  </c15:fullRef>
                </c:ext>
              </c:extLst>
              <c:f>('Division Stu. Prof.'!$BI$51:$BL$51,'Division Stu. Prof.'!$BN$51:$BQ$51)</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Prof.'!$BI$56:$BQ$56</c15:sqref>
                  </c15:fullRef>
                </c:ext>
              </c:extLst>
              <c:f>('Division Stu. Prof.'!$BI$56:$BL$56,'Division Stu. Prof.'!$BN$56:$BQ$56)</c:f>
              <c:numCache>
                <c:formatCode>0.0%</c:formatCode>
                <c:ptCount val="8"/>
                <c:pt idx="0">
                  <c:v>0.46118721461187212</c:v>
                </c:pt>
                <c:pt idx="1">
                  <c:v>0.46118721461187212</c:v>
                </c:pt>
                <c:pt idx="2">
                  <c:v>0.46118721461187212</c:v>
                </c:pt>
                <c:pt idx="3">
                  <c:v>0.46118721461187212</c:v>
                </c:pt>
                <c:pt idx="4">
                  <c:v>0.46118721461187212</c:v>
                </c:pt>
                <c:pt idx="5">
                  <c:v>0.46118721461187212</c:v>
                </c:pt>
                <c:pt idx="6">
                  <c:v>0.46118721461187212</c:v>
                </c:pt>
                <c:pt idx="7">
                  <c:v>0.46118721461187212</c:v>
                </c:pt>
              </c:numCache>
            </c:numRef>
          </c:val>
          <c:smooth val="0"/>
          <c:extLst>
            <c:ext xmlns:c16="http://schemas.microsoft.com/office/drawing/2014/chart" uri="{C3380CC4-5D6E-409C-BE32-E72D297353CC}">
              <c16:uniqueId val="{00000004-F493-4A4F-86EF-201AF32CE44D}"/>
            </c:ext>
          </c:extLst>
        </c:ser>
        <c:ser>
          <c:idx val="5"/>
          <c:order val="5"/>
          <c:tx>
            <c:strRef>
              <c:f>'Division Stu. Prof.'!$BH$57</c:f>
              <c:strCache>
                <c:ptCount val="1"/>
                <c:pt idx="0">
                  <c:v>Col. Avg. SubDemo 1 or 2</c:v>
                </c:pt>
              </c:strCache>
            </c:strRef>
          </c:tx>
          <c:spPr>
            <a:ln w="28575" cap="rnd">
              <a:solidFill>
                <a:srgbClr val="EA9A23"/>
              </a:solidFill>
              <a:prstDash val="sysDot"/>
              <a:round/>
            </a:ln>
            <a:effectLst/>
          </c:spPr>
          <c:marker>
            <c:symbol val="none"/>
          </c:marker>
          <c:cat>
            <c:strRef>
              <c:extLst>
                <c:ext xmlns:c15="http://schemas.microsoft.com/office/drawing/2012/chart" uri="{02D57815-91ED-43cb-92C2-25804820EDAC}">
                  <c15:fullRef>
                    <c15:sqref>'Division Stu. Prof.'!$BI$51:$BQ$51</c15:sqref>
                  </c15:fullRef>
                </c:ext>
              </c:extLst>
              <c:f>('Division Stu. Prof.'!$BI$51:$BL$51,'Division Stu. Prof.'!$BN$51:$BQ$51)</c:f>
              <c:strCache>
                <c:ptCount val="8"/>
                <c:pt idx="0">
                  <c:v>College Avg.</c:v>
                </c:pt>
                <c:pt idx="1">
                  <c:v>Div. 1</c:v>
                </c:pt>
                <c:pt idx="2">
                  <c:v>Div. 2</c:v>
                </c:pt>
                <c:pt idx="3">
                  <c:v>Div. 3</c:v>
                </c:pt>
                <c:pt idx="4">
                  <c:v>Div. 5</c:v>
                </c:pt>
                <c:pt idx="5">
                  <c:v>Div. 6</c:v>
                </c:pt>
                <c:pt idx="6">
                  <c:v>Div. 7</c:v>
                </c:pt>
                <c:pt idx="7">
                  <c:v>Div. 8</c:v>
                </c:pt>
              </c:strCache>
            </c:strRef>
          </c:cat>
          <c:val>
            <c:numRef>
              <c:extLst>
                <c:ext xmlns:c15="http://schemas.microsoft.com/office/drawing/2012/chart" uri="{02D57815-91ED-43cb-92C2-25804820EDAC}">
                  <c15:fullRef>
                    <c15:sqref>'Division Stu. Prof.'!$BI$57:$BQ$57</c15:sqref>
                  </c15:fullRef>
                </c:ext>
              </c:extLst>
              <c:f>('Division Stu. Prof.'!$BI$57:$BL$57,'Division Stu. Prof.'!$BN$57:$BQ$57)</c:f>
              <c:numCache>
                <c:formatCode>0.0%</c:formatCode>
                <c:ptCount val="8"/>
                <c:pt idx="0">
                  <c:v>0.28006088280060881</c:v>
                </c:pt>
                <c:pt idx="1">
                  <c:v>0.28006088280060881</c:v>
                </c:pt>
                <c:pt idx="2">
                  <c:v>0.28006088280060881</c:v>
                </c:pt>
                <c:pt idx="3">
                  <c:v>0.28006088280060881</c:v>
                </c:pt>
                <c:pt idx="4">
                  <c:v>0.28006088280060881</c:v>
                </c:pt>
                <c:pt idx="5">
                  <c:v>0.28006088280060881</c:v>
                </c:pt>
                <c:pt idx="6">
                  <c:v>0.28006088280060881</c:v>
                </c:pt>
                <c:pt idx="7">
                  <c:v>0.28006088280060881</c:v>
                </c:pt>
              </c:numCache>
            </c:numRef>
          </c:val>
          <c:smooth val="0"/>
          <c:extLst>
            <c:ext xmlns:c16="http://schemas.microsoft.com/office/drawing/2014/chart" uri="{C3380CC4-5D6E-409C-BE32-E72D297353CC}">
              <c16:uniqueId val="{00000005-F493-4A4F-86EF-201AF32CE44D}"/>
            </c:ext>
          </c:extLst>
        </c:ser>
        <c:dLbls>
          <c:showLegendKey val="0"/>
          <c:showVal val="0"/>
          <c:showCatName val="0"/>
          <c:showSerName val="0"/>
          <c:showPercent val="0"/>
          <c:showBubbleSize val="0"/>
        </c:dLbls>
        <c:marker val="1"/>
        <c:smooth val="0"/>
        <c:axId val="674697448"/>
        <c:axId val="420616496"/>
      </c:lineChart>
      <c:catAx>
        <c:axId val="67469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0616496"/>
        <c:crosses val="autoZero"/>
        <c:auto val="1"/>
        <c:lblAlgn val="ctr"/>
        <c:lblOffset val="100"/>
        <c:noMultiLvlLbl val="0"/>
      </c:catAx>
      <c:valAx>
        <c:axId val="420616496"/>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 of First-Time Cohort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97448"/>
        <c:crosses val="autoZero"/>
        <c:crossBetween val="between"/>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ysClr val="windowText" lastClr="000000">
                    <a:lumMod val="65000"/>
                    <a:lumOff val="35000"/>
                  </a:sysClr>
                </a:solidFill>
                <a:latin typeface="+mn-lt"/>
                <a:ea typeface="+mn-ea"/>
                <a:cs typeface="+mn-cs"/>
              </a:rPr>
              <a:t>Division 1 Student Population - SubDemo 1 or 2 - First-Year Cohorts</a:t>
            </a:r>
          </a:p>
        </c:rich>
      </c:tx>
      <c:layout>
        <c:manualLayout>
          <c:xMode val="edge"/>
          <c:yMode val="edge"/>
          <c:x val="0.14646767507747732"/>
          <c:y val="2.4747244094488193E-2"/>
        </c:manualLayout>
      </c:layout>
      <c:overlay val="0"/>
      <c:spPr>
        <a:noFill/>
        <a:ln>
          <a:solidFill>
            <a:schemeClr val="bg2"/>
          </a:solidFill>
        </a:ln>
        <a:effectLst>
          <a:outerShdw blurRad="50800" dist="38100" dir="2700000" algn="tl" rotWithShape="0">
            <a:schemeClr val="bg1">
              <a:lumMod val="50000"/>
              <a:alpha val="40000"/>
            </a:schemeClr>
          </a:outerShdw>
        </a:effectLst>
      </c:spPr>
      <c:txPr>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'Division Stu. Prof.'!$AU$51</c:f>
              <c:strCache>
                <c:ptCount val="1"/>
                <c:pt idx="0">
                  <c:v>SubDemo 1</c:v>
                </c:pt>
              </c:strCache>
            </c:strRef>
          </c:tx>
          <c:spPr>
            <a:ln w="28575" cap="rnd">
              <a:solidFill>
                <a:srgbClr val="C00000"/>
              </a:solidFill>
              <a:round/>
            </a:ln>
            <a:effectLst/>
          </c:spPr>
          <c:marker>
            <c:symbol val="circle"/>
            <c:size val="5"/>
            <c:spPr>
              <a:solidFill>
                <a:srgbClr val="00583D"/>
              </a:solidFill>
              <a:ln w="9525">
                <a:solidFill>
                  <a:srgbClr val="234131"/>
                </a:solidFill>
              </a:ln>
              <a:effectLst/>
            </c:spPr>
          </c:marker>
          <c:cat>
            <c:strRef>
              <c:f>'Division Stu. Prof.'!$AV$50:$BB$50</c:f>
              <c:strCache>
                <c:ptCount val="7"/>
                <c:pt idx="0">
                  <c:v>FA2017</c:v>
                </c:pt>
                <c:pt idx="1">
                  <c:v>FA2018</c:v>
                </c:pt>
                <c:pt idx="2">
                  <c:v>FA2019</c:v>
                </c:pt>
                <c:pt idx="3">
                  <c:v>FA2020</c:v>
                </c:pt>
                <c:pt idx="4">
                  <c:v>FA2021</c:v>
                </c:pt>
                <c:pt idx="5">
                  <c:v>FA2022</c:v>
                </c:pt>
                <c:pt idx="6">
                  <c:v>FA2023</c:v>
                </c:pt>
              </c:strCache>
            </c:strRef>
          </c:cat>
          <c:val>
            <c:numRef>
              <c:f>'Division Stu. Prof.'!$AV$51:$BB$51</c:f>
              <c:numCache>
                <c:formatCode>0.0%</c:formatCode>
                <c:ptCount val="7"/>
                <c:pt idx="0">
                  <c:v>0.2923</c:v>
                </c:pt>
                <c:pt idx="1">
                  <c:v>0.2727</c:v>
                </c:pt>
                <c:pt idx="2">
                  <c:v>0.38779999999999998</c:v>
                </c:pt>
                <c:pt idx="3">
                  <c:v>0.17649999999999999</c:v>
                </c:pt>
                <c:pt idx="4">
                  <c:v>0.23680000000000001</c:v>
                </c:pt>
                <c:pt idx="5">
                  <c:v>0.33329999999999999</c:v>
                </c:pt>
                <c:pt idx="6">
                  <c:v>0.60709999999999997</c:v>
                </c:pt>
              </c:numCache>
            </c:numRef>
          </c:val>
          <c:smooth val="0"/>
          <c:extLst xmlns:c15="http://schemas.microsoft.com/office/drawing/2012/chart">
            <c:ext xmlns:c16="http://schemas.microsoft.com/office/drawing/2014/chart" uri="{C3380CC4-5D6E-409C-BE32-E72D297353CC}">
              <c16:uniqueId val="{00000000-7BE4-4082-89BE-00509EBB4B10}"/>
            </c:ext>
          </c:extLst>
        </c:ser>
        <c:ser>
          <c:idx val="1"/>
          <c:order val="1"/>
          <c:tx>
            <c:strRef>
              <c:f>'Division Stu. Prof.'!$AU$52</c:f>
              <c:strCache>
                <c:ptCount val="1"/>
                <c:pt idx="0">
                  <c:v>SubDemo 2</c:v>
                </c:pt>
              </c:strCache>
            </c:strRef>
          </c:tx>
          <c:spPr>
            <a:ln w="28575" cap="rnd">
              <a:solidFill>
                <a:srgbClr val="FFC423"/>
              </a:solidFill>
              <a:round/>
            </a:ln>
            <a:effectLst/>
          </c:spPr>
          <c:marker>
            <c:symbol val="circle"/>
            <c:size val="5"/>
            <c:spPr>
              <a:solidFill>
                <a:srgbClr val="FFC423"/>
              </a:solidFill>
              <a:ln w="9525">
                <a:solidFill>
                  <a:srgbClr val="EA9A23"/>
                </a:solidFill>
              </a:ln>
              <a:effectLst/>
            </c:spPr>
          </c:marker>
          <c:cat>
            <c:strRef>
              <c:f>'Division Stu. Prof.'!$AV$50:$BB$50</c:f>
              <c:strCache>
                <c:ptCount val="7"/>
                <c:pt idx="0">
                  <c:v>FA2017</c:v>
                </c:pt>
                <c:pt idx="1">
                  <c:v>FA2018</c:v>
                </c:pt>
                <c:pt idx="2">
                  <c:v>FA2019</c:v>
                </c:pt>
                <c:pt idx="3">
                  <c:v>FA2020</c:v>
                </c:pt>
                <c:pt idx="4">
                  <c:v>FA2021</c:v>
                </c:pt>
                <c:pt idx="5">
                  <c:v>FA2022</c:v>
                </c:pt>
                <c:pt idx="6">
                  <c:v>FA2023</c:v>
                </c:pt>
              </c:strCache>
            </c:strRef>
          </c:cat>
          <c:val>
            <c:numRef>
              <c:f>'Division Stu. Prof.'!$AV$52:$BB$52</c:f>
              <c:numCache>
                <c:formatCode>0.0%</c:formatCode>
                <c:ptCount val="7"/>
                <c:pt idx="0">
                  <c:v>0.18459999999999999</c:v>
                </c:pt>
                <c:pt idx="1">
                  <c:v>9.0899999999999995E-2</c:v>
                </c:pt>
                <c:pt idx="2">
                  <c:v>0.1837</c:v>
                </c:pt>
                <c:pt idx="3">
                  <c:v>0.17649999999999999</c:v>
                </c:pt>
                <c:pt idx="4">
                  <c:v>0.23680000000000001</c:v>
                </c:pt>
                <c:pt idx="5">
                  <c:v>0.16669999999999999</c:v>
                </c:pt>
                <c:pt idx="6">
                  <c:v>0.28570000000000001</c:v>
                </c:pt>
              </c:numCache>
            </c:numRef>
          </c:val>
          <c:smooth val="0"/>
          <c:extLst xmlns:c15="http://schemas.microsoft.com/office/drawing/2012/chart">
            <c:ext xmlns:c16="http://schemas.microsoft.com/office/drawing/2014/chart" uri="{C3380CC4-5D6E-409C-BE32-E72D297353CC}">
              <c16:uniqueId val="{00000001-7BE4-4082-89BE-00509EBB4B10}"/>
            </c:ext>
          </c:extLst>
        </c:ser>
        <c:ser>
          <c:idx val="2"/>
          <c:order val="2"/>
          <c:tx>
            <c:strRef>
              <c:f>'Division Stu. Prof.'!$AU$53</c:f>
              <c:strCache>
                <c:ptCount val="1"/>
                <c:pt idx="0">
                  <c:v>SubDemo 1 or 2</c:v>
                </c:pt>
              </c:strCache>
            </c:strRef>
          </c:tx>
          <c:spPr>
            <a:ln w="28575" cap="rnd">
              <a:solidFill>
                <a:schemeClr val="accent3"/>
              </a:solidFill>
              <a:round/>
            </a:ln>
            <a:effectLst/>
          </c:spPr>
          <c:marker>
            <c:symbol val="diamond"/>
            <c:size val="7"/>
            <c:spPr>
              <a:solidFill>
                <a:schemeClr val="accent3"/>
              </a:solidFill>
              <a:ln w="9525">
                <a:solidFill>
                  <a:schemeClr val="accent3">
                    <a:lumMod val="75000"/>
                  </a:schemeClr>
                </a:solidFill>
              </a:ln>
              <a:effectLst/>
            </c:spPr>
          </c:marker>
          <c:cat>
            <c:strRef>
              <c:f>'Division Stu. Prof.'!$AV$50:$BB$50</c:f>
              <c:strCache>
                <c:ptCount val="7"/>
                <c:pt idx="0">
                  <c:v>FA2017</c:v>
                </c:pt>
                <c:pt idx="1">
                  <c:v>FA2018</c:v>
                </c:pt>
                <c:pt idx="2">
                  <c:v>FA2019</c:v>
                </c:pt>
                <c:pt idx="3">
                  <c:v>FA2020</c:v>
                </c:pt>
                <c:pt idx="4">
                  <c:v>FA2021</c:v>
                </c:pt>
                <c:pt idx="5">
                  <c:v>FA2022</c:v>
                </c:pt>
                <c:pt idx="6">
                  <c:v>FA2023</c:v>
                </c:pt>
              </c:strCache>
            </c:strRef>
          </c:cat>
          <c:val>
            <c:numRef>
              <c:f>'Division Stu. Prof.'!$AV$53:$BB$53</c:f>
              <c:numCache>
                <c:formatCode>0.0%</c:formatCode>
                <c:ptCount val="7"/>
                <c:pt idx="0">
                  <c:v>0.41539999999999999</c:v>
                </c:pt>
                <c:pt idx="1">
                  <c:v>0.30909999999999999</c:v>
                </c:pt>
                <c:pt idx="2">
                  <c:v>0.40820000000000001</c:v>
                </c:pt>
                <c:pt idx="3">
                  <c:v>0.26469999999999999</c:v>
                </c:pt>
                <c:pt idx="4">
                  <c:v>0.31580000000000003</c:v>
                </c:pt>
                <c:pt idx="5">
                  <c:v>0.43330000000000002</c:v>
                </c:pt>
                <c:pt idx="6">
                  <c:v>0.60709999999999997</c:v>
                </c:pt>
              </c:numCache>
            </c:numRef>
          </c:val>
          <c:smooth val="0"/>
          <c:extLst>
            <c:ext xmlns:c16="http://schemas.microsoft.com/office/drawing/2014/chart" uri="{C3380CC4-5D6E-409C-BE32-E72D297353CC}">
              <c16:uniqueId val="{00000002-7BE4-4082-89BE-00509EBB4B10}"/>
            </c:ext>
          </c:extLst>
        </c:ser>
        <c:dLbls>
          <c:showLegendKey val="0"/>
          <c:showVal val="0"/>
          <c:showCatName val="0"/>
          <c:showSerName val="0"/>
          <c:showPercent val="0"/>
          <c:showBubbleSize val="0"/>
        </c:dLbls>
        <c:marker val="1"/>
        <c:smooth val="0"/>
        <c:axId val="674697448"/>
        <c:axId val="420616496"/>
      </c:lineChart>
      <c:catAx>
        <c:axId val="67469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0616496"/>
        <c:crosses val="autoZero"/>
        <c:auto val="1"/>
        <c:lblAlgn val="ctr"/>
        <c:lblOffset val="100"/>
        <c:noMultiLvlLbl val="0"/>
      </c:catAx>
      <c:valAx>
        <c:axId val="420616496"/>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First-Time</a:t>
                </a:r>
                <a:r>
                  <a:rPr lang="en-US" baseline="0"/>
                  <a:t> Students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97448"/>
        <c:crosses val="autoZero"/>
        <c:crossBetween val="between"/>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ysClr val="windowText" lastClr="000000">
                    <a:lumMod val="65000"/>
                    <a:lumOff val="35000"/>
                  </a:sysClr>
                </a:solidFill>
                <a:latin typeface="+mn-lt"/>
                <a:ea typeface="+mn-ea"/>
                <a:cs typeface="+mn-cs"/>
              </a:rPr>
              <a:t>Division 1 First-Year FR Retention Rates - All cohorts FA17 - FA21</a:t>
            </a:r>
          </a:p>
        </c:rich>
      </c:tx>
      <c:layout>
        <c:manualLayout>
          <c:xMode val="edge"/>
          <c:yMode val="edge"/>
          <c:x val="0.13908328355507285"/>
          <c:y val="2.7777736313766465E-2"/>
        </c:manualLayout>
      </c:layout>
      <c:overlay val="0"/>
      <c:spPr>
        <a:noFill/>
        <a:ln>
          <a:solidFill>
            <a:schemeClr val="bg2"/>
          </a:solidFill>
        </a:ln>
        <a:effectLst>
          <a:outerShdw blurRad="50800" dist="38100" dir="2700000" algn="tl" rotWithShape="0">
            <a:schemeClr val="bg1">
              <a:lumMod val="50000"/>
              <a:alpha val="40000"/>
            </a:schemeClr>
          </a:outerShdw>
        </a:effectLst>
      </c:spPr>
      <c:txPr>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'Program Stu. Prof.'!$O$5</c:f>
              <c:strCache>
                <c:ptCount val="1"/>
                <c:pt idx="0">
                  <c:v>In-Program Retention</c:v>
                </c:pt>
              </c:strCache>
            </c:strRef>
          </c:tx>
          <c:spPr>
            <a:solidFill>
              <a:srgbClr val="C00000"/>
            </a:solidFill>
            <a:ln>
              <a:solidFill>
                <a:srgbClr val="FF0000"/>
              </a:solidFill>
            </a:ln>
            <a:effectLst/>
          </c:spPr>
          <c:invertIfNegative val="0"/>
          <c:dPt>
            <c:idx val="0"/>
            <c:invertIfNegative val="0"/>
            <c:bubble3D val="0"/>
            <c:spPr>
              <a:solidFill>
                <a:srgbClr val="C00000"/>
              </a:solidFill>
              <a:ln w="31750">
                <a:solidFill>
                  <a:srgbClr val="FF0000"/>
                </a:solidFill>
                <a:prstDash val="sysDot"/>
              </a:ln>
              <a:effectLst/>
            </c:spPr>
            <c:extLst>
              <c:ext xmlns:c16="http://schemas.microsoft.com/office/drawing/2014/chart" uri="{C3380CC4-5D6E-409C-BE32-E72D297353CC}">
                <c16:uniqueId val="{00000007-EBE6-4E5E-A4EF-11CD72C51A26}"/>
              </c:ext>
            </c:extLst>
          </c:dPt>
          <c:dPt>
            <c:idx val="8"/>
            <c:invertIfNegative val="0"/>
            <c:bubble3D val="0"/>
            <c:spPr>
              <a:solidFill>
                <a:srgbClr val="C00000"/>
              </a:solidFill>
              <a:ln>
                <a:solidFill>
                  <a:srgbClr val="FF0000"/>
                </a:solidFill>
              </a:ln>
              <a:effectLst/>
            </c:spPr>
            <c:extLst>
              <c:ext xmlns:c16="http://schemas.microsoft.com/office/drawing/2014/chart" uri="{C3380CC4-5D6E-409C-BE32-E72D297353CC}">
                <c16:uniqueId val="{00000006-72AF-4B3D-8565-A259DC34C5E4}"/>
              </c:ext>
            </c:extLst>
          </c:dPt>
          <c:dLbls>
            <c:dLbl>
              <c:idx val="0"/>
              <c:tx>
                <c:rich>
                  <a:bodyPr/>
                  <a:lstStyle/>
                  <a:p>
                    <a:fld id="{6ABD6723-1869-4CB3-96BB-AF6F79E035C1}"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{6ABD6723-1869-4CB3-96BB-AF6F79E035C1}</c15:txfldGUID>
                      <c15:f>'Program Stu. Prof.'!$R$6</c15:f>
                      <c15:dlblFieldTableCache>
                        <c:ptCount val="1"/>
                        <c:pt idx="0">
                          <c:v>1530</c:v>
                        </c:pt>
                      </c15:dlblFieldTableCache>
                    </c15:dlblFTEntry>
                  </c15:dlblFieldTable>
                  <c15:showDataLabelsRange val="0"/>
                </c:ext>
                <c:ext xmlns:c16="http://schemas.microsoft.com/office/drawing/2014/chart" uri="{C3380CC4-5D6E-409C-BE32-E72D297353CC}">
                  <c16:uniqueId val="{00000007-EBE6-4E5E-A4EF-11CD72C51A26}"/>
                </c:ext>
              </c:extLst>
            </c:dLbl>
            <c:dLbl>
              <c:idx val="1"/>
              <c:tx>
                <c:rich>
                  <a:bodyPr/>
                  <a:lstStyle/>
                  <a:p>
                    <a:fld id="{889454A7-0FB4-4854-B086-4BB59873BE6C}"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{889454A7-0FB4-4854-B086-4BB59873BE6C}</c15:txfldGUID>
                      <c15:f>'Program Stu. Prof.'!$R$7</c15:f>
                      <c15:dlblFieldTableCache>
                        <c:ptCount val="1"/>
                        <c:pt idx="0">
                          <c:v>31</c:v>
                        </c:pt>
                      </c15:dlblFieldTableCache>
                    </c15:dlblFTEntry>
                  </c15:dlblFieldTable>
                  <c15:showDataLabelsRange val="0"/>
                </c:ext>
                <c:ext xmlns:c16="http://schemas.microsoft.com/office/drawing/2014/chart" uri="{C3380CC4-5D6E-409C-BE32-E72D297353CC}">
                  <c16:uniqueId val="{00000006-EBE6-4E5E-A4EF-11CD72C51A26}"/>
                </c:ext>
              </c:extLst>
            </c:dLbl>
            <c:dLbl>
              <c:idx val="2"/>
              <c:tx>
                <c:rich>
                  <a:bodyPr/>
                  <a:lstStyle/>
                  <a:p>
                    <a:fld id="{E5F2706B-BEDC-422F-9CFC-F84A6DFD66EF}"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{E5F2706B-BEDC-422F-9CFC-F84A6DFD66EF}</c15:txfldGUID>
                      <c15:f>'Program Stu. Prof.'!$R$8</c15:f>
                      <c15:dlblFieldTableCache>
                        <c:ptCount val="1"/>
                        <c:pt idx="0">
                          <c:v>17</c:v>
                        </c:pt>
                      </c15:dlblFieldTableCache>
                    </c15:dlblFTEntry>
                  </c15:dlblFieldTable>
                  <c15:showDataLabelsRange val="0"/>
                </c:ext>
                <c:ext xmlns:c16="http://schemas.microsoft.com/office/drawing/2014/chart" uri="{C3380CC4-5D6E-409C-BE32-E72D297353CC}">
                  <c16:uniqueId val="{00000005-EBE6-4E5E-A4EF-11CD72C51A26}"/>
                </c:ext>
              </c:extLst>
            </c:dLbl>
            <c:dLbl>
              <c:idx val="3"/>
              <c:tx>
                <c:rich>
                  <a:bodyPr/>
                  <a:lstStyle/>
                  <a:p>
                    <a:fld id="{F58EA8F3-EFC3-4D14-9633-1CBE271B399F}"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{F58EA8F3-EFC3-4D14-9633-1CBE271B399F}</c15:txfldGUID>
                      <c15:f>'Program Stu. Prof.'!$R$9</c15:f>
                      <c15:dlblFieldTableCache>
                        <c:ptCount val="1"/>
                        <c:pt idx="0">
                          <c:v>37</c:v>
                        </c:pt>
                      </c15:dlblFieldTableCache>
                    </c15:dlblFTEntry>
                  </c15:dlblFieldTable>
                  <c15:showDataLabelsRange val="0"/>
                </c:ext>
                <c:ext xmlns:c16="http://schemas.microsoft.com/office/drawing/2014/chart" uri="{C3380CC4-5D6E-409C-BE32-E72D297353CC}">
                  <c16:uniqueId val="{00000000-D333-4FCE-8E45-724741A32599}"/>
                </c:ext>
              </c:extLst>
            </c:dLbl>
            <c:dLbl>
              <c:idx val="4"/>
              <c:tx>
                <c:rich>
                  <a:bodyPr/>
                  <a:lstStyle/>
                  <a:p>
                    <a:fld id="{32810FD5-C468-47E4-97B0-E79BEDB4B413}"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{32810FD5-C468-47E4-97B0-E79BEDB4B413}</c15:txfldGUID>
                      <c15:f>'Program Stu. Prof.'!$R$10</c15:f>
                      <c15:dlblFieldTableCache>
                        <c:ptCount val="1"/>
                        <c:pt idx="0">
                          <c:v>15</c:v>
                        </c:pt>
                      </c15:dlblFieldTableCache>
                    </c15:dlblFTEntry>
                  </c15:dlblFieldTable>
                  <c15:showDataLabelsRange val="0"/>
                </c:ext>
                <c:ext xmlns:c16="http://schemas.microsoft.com/office/drawing/2014/chart" uri="{C3380CC4-5D6E-409C-BE32-E72D297353CC}">
                  <c16:uniqueId val="{00000000-B0CC-42F4-A877-E39E36B15324}"/>
                </c:ext>
              </c:extLst>
            </c:dLbl>
            <c:dLbl>
              <c:idx val="5"/>
              <c:tx>
                <c:rich>
                  <a:bodyPr/>
                  <a:lstStyle/>
                  <a:p>
                    <a:fld id="{23069A37-B728-4075-B505-DFACC9F94878}"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{23069A37-B728-4075-B505-DFACC9F94878}</c15:txfldGUID>
                      <c15:f>'Program Stu. Prof.'!$R$11</c15:f>
                      <c15:dlblFieldTableCache>
                        <c:ptCount val="1"/>
                        <c:pt idx="0">
                          <c:v>17</c:v>
                        </c:pt>
                      </c15:dlblFieldTableCache>
                    </c15:dlblFTEntry>
                  </c15:dlblFieldTable>
                  <c15:showDataLabelsRange val="0"/>
                </c:ext>
                <c:ext xmlns:c16="http://schemas.microsoft.com/office/drawing/2014/chart" uri="{C3380CC4-5D6E-409C-BE32-E72D297353CC}">
                  <c16:uniqueId val="{00000001-B0CC-42F4-A877-E39E36B15324}"/>
                </c:ext>
              </c:extLst>
            </c:dLbl>
            <c:dLbl>
              <c:idx val="6"/>
              <c:tx>
                <c:rich>
                  <a:bodyPr/>
                  <a:lstStyle/>
                  <a:p>
                    <a:fld id="{D41F1095-84EC-4924-99A3-6640DB007DB2}"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{D41F1095-84EC-4924-99A3-6640DB007DB2}</c15:txfldGUID>
                      <c15:f>'Program Stu. Prof.'!$R$12</c15:f>
                      <c15:dlblFieldTableCache>
                        <c:ptCount val="1"/>
                        <c:pt idx="0">
                          <c:v>4</c:v>
                        </c:pt>
                      </c15:dlblFieldTableCache>
                    </c15:dlblFTEntry>
                  </c15:dlblFieldTable>
                  <c15:showDataLabelsRange val="0"/>
                </c:ext>
                <c:ext xmlns:c16="http://schemas.microsoft.com/office/drawing/2014/chart" uri="{C3380CC4-5D6E-409C-BE32-E72D297353CC}">
                  <c16:uniqueId val="{00000002-B0CC-42F4-A877-E39E36B15324}"/>
                </c:ext>
              </c:extLst>
            </c:dLbl>
            <c:dLbl>
              <c:idx val="7"/>
              <c:tx>
                <c:rich>
                  <a:bodyPr/>
                  <a:lstStyle/>
                  <a:p>
                    <a:fld id="{73E14182-EBC7-4586-B1CA-E792237E542F}"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{73E14182-EBC7-4586-B1CA-E792237E542F}</c15:txfldGUID>
                      <c15:f>'Program Stu. Prof.'!$R$13</c15:f>
                      <c15:dlblFieldTableCache>
                        <c:ptCount val="1"/>
                        <c:pt idx="0">
                          <c:v>3</c:v>
                        </c:pt>
                      </c15:dlblFieldTableCache>
                    </c15:dlblFTEntry>
                  </c15:dlblFieldTable>
                  <c15:showDataLabelsRange val="0"/>
                </c:ext>
                <c:ext xmlns:c16="http://schemas.microsoft.com/office/drawing/2014/chart" uri="{C3380CC4-5D6E-409C-BE32-E72D297353CC}">
                  <c16:uniqueId val="{00000005-B0CC-42F4-A877-E39E36B15324}"/>
                </c:ext>
              </c:extLst>
            </c:dLbl>
            <c:dLbl>
              <c:idx val="8"/>
              <c:tx>
                <c:rich>
                  <a:bodyPr/>
                  <a:lstStyle/>
                  <a:p>
                    <a:fld id="{EFD22B19-A3A3-4469-8E9D-CE8E8002476F}" type="CELLREF">
                      <a:rPr lang="en-US"/>
                      <a:pPr/>
                      <a:t>[CELLREF]</a:t>
                    </a:fld>
                    <a:endParaRPr lang="en-US"/>
                  </a:p>
                </c:rich>
              </c:tx>
              <c:showLegendKey val="0"/>
              <c:showVal val="1"/>
              <c:showCatName val="0"/>
              <c:showSerName val="0"/>
              <c:showPercent val="0"/>
              <c:showBubbleSize val="0"/>
              <c:extLst>
                <c:ext xmlns:c15="http://schemas.microsoft.com/office/drawing/2012/chart" uri="{CE6537A1-D6FC-4f65-9D91-7224C49458BB}">
                  <c15:dlblFieldTable>
                    <c15:dlblFTEntry>
                      <c15:txfldGUID>{EFD22B19-A3A3-4469-8E9D-CE8E8002476F}</c15:txfldGUID>
                      <c15:f>'Program Stu. Prof.'!$R$14</c15:f>
                      <c15:dlblFieldTableCache>
                        <c:ptCount val="1"/>
                        <c:pt idx="0">
                          <c:v>88</c:v>
                        </c:pt>
                      </c15:dlblFieldTableCache>
                    </c15:dlblFTEntry>
                  </c15:dlblFieldTable>
                  <c15:showDataLabelsRange val="0"/>
                </c:ext>
                <c:ext xmlns:c16="http://schemas.microsoft.com/office/drawing/2014/chart" uri="{C3380CC4-5D6E-409C-BE32-E72D297353CC}">
                  <c16:uniqueId val="{00000006-72AF-4B3D-8565-A259DC34C5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 Stu. Prof.'!$N$6:$N$14</c:f>
              <c:strCache>
                <c:ptCount val="9"/>
                <c:pt idx="0">
                  <c:v>College Avg</c:v>
                </c:pt>
                <c:pt idx="1">
                  <c:v>Program 10</c:v>
                </c:pt>
                <c:pt idx="2">
                  <c:v>Program 11</c:v>
                </c:pt>
                <c:pt idx="3">
                  <c:v>Program 12</c:v>
                </c:pt>
                <c:pt idx="4">
                  <c:v>Program 13</c:v>
                </c:pt>
                <c:pt idx="5">
                  <c:v>Program 14</c:v>
                </c:pt>
                <c:pt idx="6">
                  <c:v>Program 15</c:v>
                </c:pt>
                <c:pt idx="7">
                  <c:v>Program 16</c:v>
                </c:pt>
                <c:pt idx="8">
                  <c:v>Program 17</c:v>
                </c:pt>
              </c:strCache>
            </c:strRef>
          </c:cat>
          <c:val>
            <c:numRef>
              <c:f>'Program Stu. Prof.'!$O$6:$O$14</c:f>
              <c:numCache>
                <c:formatCode>0%</c:formatCode>
                <c:ptCount val="9"/>
                <c:pt idx="0">
                  <c:v>0.55098039215686279</c:v>
                </c:pt>
                <c:pt idx="1">
                  <c:v>0.38</c:v>
                </c:pt>
                <c:pt idx="2">
                  <c:v>0.63</c:v>
                </c:pt>
                <c:pt idx="3">
                  <c:v>0.59</c:v>
                </c:pt>
                <c:pt idx="4">
                  <c:v>0.33</c:v>
                </c:pt>
                <c:pt idx="5">
                  <c:v>0.71</c:v>
                </c:pt>
                <c:pt idx="6">
                  <c:v>0.25</c:v>
                </c:pt>
                <c:pt idx="7">
                  <c:v>0.33</c:v>
                </c:pt>
                <c:pt idx="8">
                  <c:v>0.15</c:v>
                </c:pt>
              </c:numCache>
            </c:numRef>
          </c:val>
          <c:extLst xmlns:c15="http://schemas.microsoft.com/office/drawing/2012/chart">
            <c:ext xmlns:c16="http://schemas.microsoft.com/office/drawing/2014/chart" uri="{C3380CC4-5D6E-409C-BE32-E72D297353CC}">
              <c16:uniqueId val="{00000000-EBE6-4E5E-A4EF-11CD72C51A26}"/>
            </c:ext>
          </c:extLst>
        </c:ser>
        <c:ser>
          <c:idx val="1"/>
          <c:order val="1"/>
          <c:tx>
            <c:strRef>
              <c:f>'Program Stu. Prof.'!$P$5</c:f>
              <c:strCache>
                <c:ptCount val="1"/>
                <c:pt idx="0">
                  <c:v>In-Division Retention</c:v>
                </c:pt>
              </c:strCache>
            </c:strRef>
          </c:tx>
          <c:spPr>
            <a:solidFill>
              <a:srgbClr val="FFC423"/>
            </a:solidFill>
            <a:ln>
              <a:noFill/>
            </a:ln>
            <a:effectLst/>
          </c:spPr>
          <c:invertIfNegative val="0"/>
          <c:dPt>
            <c:idx val="0"/>
            <c:invertIfNegative val="0"/>
            <c:bubble3D val="0"/>
            <c:spPr>
              <a:solidFill>
                <a:srgbClr val="FFC423"/>
              </a:solidFill>
              <a:ln w="31750">
                <a:solidFill>
                  <a:srgbClr val="EA9A23"/>
                </a:solidFill>
                <a:prstDash val="sysDot"/>
              </a:ln>
              <a:effectLst/>
            </c:spPr>
            <c:extLst>
              <c:ext xmlns:c16="http://schemas.microsoft.com/office/drawing/2014/chart" uri="{C3380CC4-5D6E-409C-BE32-E72D297353CC}">
                <c16:uniqueId val="{00000003-B0CC-42F4-A877-E39E36B15324}"/>
              </c:ext>
            </c:extLst>
          </c:dPt>
          <c:dPt>
            <c:idx val="8"/>
            <c:invertIfNegative val="0"/>
            <c:bubble3D val="0"/>
            <c:spPr>
              <a:solidFill>
                <a:srgbClr val="F5D989"/>
              </a:solidFill>
              <a:ln>
                <a:noFill/>
              </a:ln>
              <a:effectLst/>
            </c:spPr>
            <c:extLst>
              <c:ext xmlns:c16="http://schemas.microsoft.com/office/drawing/2014/chart" uri="{C3380CC4-5D6E-409C-BE32-E72D297353CC}">
                <c16:uniqueId val="{00000007-72AF-4B3D-8565-A259DC34C5E4}"/>
              </c:ext>
            </c:extLst>
          </c:dPt>
          <c:cat>
            <c:strRef>
              <c:f>'Program Stu. Prof.'!$N$6:$N$14</c:f>
              <c:strCache>
                <c:ptCount val="9"/>
                <c:pt idx="0">
                  <c:v>College Avg</c:v>
                </c:pt>
                <c:pt idx="1">
                  <c:v>Program 10</c:v>
                </c:pt>
                <c:pt idx="2">
                  <c:v>Program 11</c:v>
                </c:pt>
                <c:pt idx="3">
                  <c:v>Program 12</c:v>
                </c:pt>
                <c:pt idx="4">
                  <c:v>Program 13</c:v>
                </c:pt>
                <c:pt idx="5">
                  <c:v>Program 14</c:v>
                </c:pt>
                <c:pt idx="6">
                  <c:v>Program 15</c:v>
                </c:pt>
                <c:pt idx="7">
                  <c:v>Program 16</c:v>
                </c:pt>
                <c:pt idx="8">
                  <c:v>Program 17</c:v>
                </c:pt>
              </c:strCache>
            </c:strRef>
          </c:cat>
          <c:val>
            <c:numRef>
              <c:f>'Program Stu. Prof.'!$P$6:$P$14</c:f>
              <c:numCache>
                <c:formatCode>0%</c:formatCode>
                <c:ptCount val="9"/>
                <c:pt idx="0">
                  <c:v>0.59281045751633987</c:v>
                </c:pt>
                <c:pt idx="1">
                  <c:v>0.65</c:v>
                </c:pt>
                <c:pt idx="2">
                  <c:v>0.59</c:v>
                </c:pt>
                <c:pt idx="3">
                  <c:v>0.56999999999999995</c:v>
                </c:pt>
                <c:pt idx="4">
                  <c:v>0.47</c:v>
                </c:pt>
                <c:pt idx="5">
                  <c:v>0.71</c:v>
                </c:pt>
                <c:pt idx="6">
                  <c:v>0.5</c:v>
                </c:pt>
                <c:pt idx="7">
                  <c:v>0.33</c:v>
                </c:pt>
                <c:pt idx="8">
                  <c:v>0.15</c:v>
                </c:pt>
              </c:numCache>
            </c:numRef>
          </c:val>
          <c:extLst xmlns:c15="http://schemas.microsoft.com/office/drawing/2012/chart">
            <c:ext xmlns:c16="http://schemas.microsoft.com/office/drawing/2014/chart" uri="{C3380CC4-5D6E-409C-BE32-E72D297353CC}">
              <c16:uniqueId val="{00000001-EBE6-4E5E-A4EF-11CD72C51A26}"/>
            </c:ext>
          </c:extLst>
        </c:ser>
        <c:ser>
          <c:idx val="2"/>
          <c:order val="2"/>
          <c:tx>
            <c:strRef>
              <c:f>'Program Stu. Prof.'!$Q$5</c:f>
              <c:strCache>
                <c:ptCount val="1"/>
                <c:pt idx="0">
                  <c:v>In-College Retention</c:v>
                </c:pt>
              </c:strCache>
            </c:strRef>
          </c:tx>
          <c:spPr>
            <a:solidFill>
              <a:srgbClr val="013F5E"/>
            </a:solidFill>
            <a:ln>
              <a:noFill/>
            </a:ln>
            <a:effectLst/>
          </c:spPr>
          <c:invertIfNegative val="0"/>
          <c:dPt>
            <c:idx val="0"/>
            <c:invertIfNegative val="0"/>
            <c:bubble3D val="0"/>
            <c:spPr>
              <a:solidFill>
                <a:srgbClr val="013F5E"/>
              </a:solidFill>
              <a:ln w="31750">
                <a:solidFill>
                  <a:srgbClr val="234131"/>
                </a:solidFill>
                <a:prstDash val="sysDot"/>
              </a:ln>
              <a:effectLst/>
            </c:spPr>
            <c:extLst>
              <c:ext xmlns:c16="http://schemas.microsoft.com/office/drawing/2014/chart" uri="{C3380CC4-5D6E-409C-BE32-E72D297353CC}">
                <c16:uniqueId val="{00000004-B0CC-42F4-A877-E39E36B15324}"/>
              </c:ext>
            </c:extLst>
          </c:dPt>
          <c:dPt>
            <c:idx val="8"/>
            <c:invertIfNegative val="0"/>
            <c:bubble3D val="0"/>
            <c:spPr>
              <a:solidFill>
                <a:srgbClr val="55859D"/>
              </a:solidFill>
              <a:ln>
                <a:noFill/>
              </a:ln>
              <a:effectLst/>
            </c:spPr>
            <c:extLst>
              <c:ext xmlns:c16="http://schemas.microsoft.com/office/drawing/2014/chart" uri="{C3380CC4-5D6E-409C-BE32-E72D297353CC}">
                <c16:uniqueId val="{00000008-72AF-4B3D-8565-A259DC34C5E4}"/>
              </c:ext>
            </c:extLst>
          </c:dPt>
          <c:cat>
            <c:strRef>
              <c:f>'Program Stu. Prof.'!$N$6:$N$14</c:f>
              <c:strCache>
                <c:ptCount val="9"/>
                <c:pt idx="0">
                  <c:v>College Avg</c:v>
                </c:pt>
                <c:pt idx="1">
                  <c:v>Program 10</c:v>
                </c:pt>
                <c:pt idx="2">
                  <c:v>Program 11</c:v>
                </c:pt>
                <c:pt idx="3">
                  <c:v>Program 12</c:v>
                </c:pt>
                <c:pt idx="4">
                  <c:v>Program 13</c:v>
                </c:pt>
                <c:pt idx="5">
                  <c:v>Program 14</c:v>
                </c:pt>
                <c:pt idx="6">
                  <c:v>Program 15</c:v>
                </c:pt>
                <c:pt idx="7">
                  <c:v>Program 16</c:v>
                </c:pt>
                <c:pt idx="8">
                  <c:v>Program 17</c:v>
                </c:pt>
              </c:strCache>
            </c:strRef>
          </c:cat>
          <c:val>
            <c:numRef>
              <c:f>'Program Stu. Prof.'!$Q$6:$Q$14</c:f>
              <c:numCache>
                <c:formatCode>0%</c:formatCode>
                <c:ptCount val="9"/>
                <c:pt idx="0">
                  <c:v>0.68823529411764706</c:v>
                </c:pt>
                <c:pt idx="1">
                  <c:v>0.74</c:v>
                </c:pt>
                <c:pt idx="2">
                  <c:v>0.65</c:v>
                </c:pt>
                <c:pt idx="3">
                  <c:v>0.7</c:v>
                </c:pt>
                <c:pt idx="4">
                  <c:v>0.53</c:v>
                </c:pt>
                <c:pt idx="5">
                  <c:v>0.71</c:v>
                </c:pt>
                <c:pt idx="6">
                  <c:v>0.5</c:v>
                </c:pt>
                <c:pt idx="7">
                  <c:v>0.33</c:v>
                </c:pt>
                <c:pt idx="8">
                  <c:v>0.64</c:v>
                </c:pt>
              </c:numCache>
            </c:numRef>
          </c:val>
          <c:extLst>
            <c:ext xmlns:c16="http://schemas.microsoft.com/office/drawing/2014/chart" uri="{C3380CC4-5D6E-409C-BE32-E72D297353CC}">
              <c16:uniqueId val="{00000002-EBE6-4E5E-A4EF-11CD72C51A26}"/>
            </c:ext>
          </c:extLst>
        </c:ser>
        <c:dLbls>
          <c:showLegendKey val="0"/>
          <c:showVal val="0"/>
          <c:showCatName val="0"/>
          <c:showSerName val="0"/>
          <c:showPercent val="0"/>
          <c:showBubbleSize val="0"/>
        </c:dLbls>
        <c:gapWidth val="130"/>
        <c:overlap val="-10"/>
        <c:axId val="674697448"/>
        <c:axId val="420616496"/>
        <c:extLst/>
      </c:barChart>
      <c:catAx>
        <c:axId val="67469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20616496"/>
        <c:crosses val="autoZero"/>
        <c:auto val="1"/>
        <c:lblAlgn val="ctr"/>
        <c:lblOffset val="100"/>
        <c:noMultiLvlLbl val="0"/>
      </c:catAx>
      <c:valAx>
        <c:axId val="420616496"/>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Fall-to-Fall Retention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697448"/>
        <c:crosses val="autoZero"/>
        <c:crossBetween val="between"/>
        <c:min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59</xdr:col>
      <xdr:colOff>0</xdr:colOff>
      <xdr:row>23</xdr:row>
      <xdr:rowOff>0</xdr:rowOff>
    </xdr:from>
    <xdr:to>
      <xdr:col>71</xdr:col>
      <xdr:colOff>133349</xdr:colOff>
      <xdr:row>45</xdr:row>
      <xdr:rowOff>0</xdr:rowOff>
    </xdr:to>
    <xdr:graphicFrame macro="">
      <xdr:nvGraphicFramePr>
        <xdr:cNvPr id="3" name="Chart 2">
          <a:extLst>
            <a:ext uri="{FF2B5EF4-FFF2-40B4-BE49-F238E27FC236}">
              <a16:creationId xmlns:a16="http://schemas.microsoft.com/office/drawing/2014/main" id="{3622B371-43B8-498D-B0FB-38EEAA9D5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0</xdr:colOff>
      <xdr:row>23</xdr:row>
      <xdr:rowOff>0</xdr:rowOff>
    </xdr:from>
    <xdr:to>
      <xdr:col>57</xdr:col>
      <xdr:colOff>390524</xdr:colOff>
      <xdr:row>45</xdr:row>
      <xdr:rowOff>0</xdr:rowOff>
    </xdr:to>
    <xdr:graphicFrame macro="">
      <xdr:nvGraphicFramePr>
        <xdr:cNvPr id="2" name="Chart 1">
          <a:extLst>
            <a:ext uri="{FF2B5EF4-FFF2-40B4-BE49-F238E27FC236}">
              <a16:creationId xmlns:a16="http://schemas.microsoft.com/office/drawing/2014/main" id="{02AB78D9-769B-4F5C-8FF6-7FCA8770E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0</xdr:colOff>
      <xdr:row>57</xdr:row>
      <xdr:rowOff>190499</xdr:rowOff>
    </xdr:from>
    <xdr:to>
      <xdr:col>71</xdr:col>
      <xdr:colOff>133349</xdr:colOff>
      <xdr:row>77</xdr:row>
      <xdr:rowOff>166686</xdr:rowOff>
    </xdr:to>
    <xdr:graphicFrame macro="">
      <xdr:nvGraphicFramePr>
        <xdr:cNvPr id="7" name="Chart 6">
          <a:extLst>
            <a:ext uri="{FF2B5EF4-FFF2-40B4-BE49-F238E27FC236}">
              <a16:creationId xmlns:a16="http://schemas.microsoft.com/office/drawing/2014/main" id="{F0C76BAA-B2D2-4E41-9445-37DE7954A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0</xdr:colOff>
      <xdr:row>58</xdr:row>
      <xdr:rowOff>0</xdr:rowOff>
    </xdr:from>
    <xdr:to>
      <xdr:col>57</xdr:col>
      <xdr:colOff>390524</xdr:colOff>
      <xdr:row>78</xdr:row>
      <xdr:rowOff>0</xdr:rowOff>
    </xdr:to>
    <xdr:graphicFrame macro="">
      <xdr:nvGraphicFramePr>
        <xdr:cNvPr id="6" name="Chart 5">
          <a:extLst>
            <a:ext uri="{FF2B5EF4-FFF2-40B4-BE49-F238E27FC236}">
              <a16:creationId xmlns:a16="http://schemas.microsoft.com/office/drawing/2014/main" id="{A677E934-402A-4F6D-B5DA-95ED65BAE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609599</xdr:colOff>
      <xdr:row>14</xdr:row>
      <xdr:rowOff>171450</xdr:rowOff>
    </xdr:from>
    <xdr:to>
      <xdr:col>21</xdr:col>
      <xdr:colOff>600074</xdr:colOff>
      <xdr:row>36</xdr:row>
      <xdr:rowOff>0</xdr:rowOff>
    </xdr:to>
    <xdr:graphicFrame macro="">
      <xdr:nvGraphicFramePr>
        <xdr:cNvPr id="2" name="Chart 1">
          <a:extLst>
            <a:ext uri="{FF2B5EF4-FFF2-40B4-BE49-F238E27FC236}">
              <a16:creationId xmlns:a16="http://schemas.microsoft.com/office/drawing/2014/main" id="{74767272-54A3-4BD9-BFC8-75FD951FF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1D583-F694-4C0F-86E0-8C5DA21A4806}">
  <dimension ref="A1:BU73"/>
  <sheetViews>
    <sheetView tabSelected="1" zoomScale="80" zoomScaleNormal="80" workbookViewId="0"/>
  </sheetViews>
  <sheetFormatPr defaultRowHeight="15" x14ac:dyDescent="0.25"/>
  <cols>
    <col min="3" max="3" width="7" bestFit="1" customWidth="1"/>
    <col min="4" max="4" width="8.5703125" bestFit="1" customWidth="1"/>
    <col min="6" max="6" width="7.28515625" bestFit="1" customWidth="1"/>
    <col min="7" max="34" width="7.28515625" customWidth="1"/>
    <col min="35" max="36" width="4" customWidth="1"/>
    <col min="38" max="38" width="7.7109375" bestFit="1" customWidth="1"/>
    <col min="39" max="44" width="7.28515625" bestFit="1" customWidth="1"/>
    <col min="45" max="45" width="9.42578125" bestFit="1" customWidth="1"/>
    <col min="46" max="46" width="5.28515625" customWidth="1"/>
    <col min="47" max="47" width="15.42578125" bestFit="1" customWidth="1"/>
    <col min="48" max="53" width="7.28515625" bestFit="1" customWidth="1"/>
    <col min="54" max="54" width="8.140625" customWidth="1"/>
    <col min="55" max="55" width="14.42578125" bestFit="1" customWidth="1"/>
    <col min="56" max="56" width="11.85546875" customWidth="1"/>
    <col min="57" max="57" width="15.85546875" customWidth="1"/>
    <col min="58" max="58" width="7.5703125" customWidth="1"/>
    <col min="59" max="59" width="4.85546875" customWidth="1"/>
    <col min="60" max="60" width="22.7109375" bestFit="1" customWidth="1"/>
    <col min="61" max="69" width="7.140625" customWidth="1"/>
    <col min="72" max="72" width="5.85546875" customWidth="1"/>
  </cols>
  <sheetData>
    <row r="1" spans="1:70" x14ac:dyDescent="0.25">
      <c r="A1" s="11" t="s">
        <v>101</v>
      </c>
    </row>
    <row r="2" spans="1:70" x14ac:dyDescent="0.25">
      <c r="A2" s="11" t="s">
        <v>100</v>
      </c>
    </row>
    <row r="3" spans="1:70" x14ac:dyDescent="0.25">
      <c r="A3" s="11" t="s">
        <v>102</v>
      </c>
    </row>
    <row r="4" spans="1:70" x14ac:dyDescent="0.25">
      <c r="A4" s="11" t="s">
        <v>105</v>
      </c>
    </row>
    <row r="5" spans="1:70" x14ac:dyDescent="0.25">
      <c r="A5" s="11" t="s">
        <v>108</v>
      </c>
    </row>
    <row r="6" spans="1:70" x14ac:dyDescent="0.25">
      <c r="A6" s="11" t="s">
        <v>106</v>
      </c>
    </row>
    <row r="7" spans="1:70" x14ac:dyDescent="0.25">
      <c r="A7" s="11" t="s">
        <v>107</v>
      </c>
    </row>
    <row r="8" spans="1:70" x14ac:dyDescent="0.25">
      <c r="A8" s="12" t="s">
        <v>103</v>
      </c>
    </row>
    <row r="9" spans="1:70" x14ac:dyDescent="0.25">
      <c r="A9" s="12" t="s">
        <v>104</v>
      </c>
    </row>
    <row r="11" spans="1:70" ht="15" customHeight="1" x14ac:dyDescent="0.25">
      <c r="A11" s="17" t="s">
        <v>16</v>
      </c>
      <c r="B11" s="24"/>
      <c r="C11" s="24"/>
      <c r="D11" s="24"/>
      <c r="E11" s="24"/>
      <c r="F11" s="8"/>
      <c r="G11" s="8"/>
      <c r="H11" s="13" t="s">
        <v>26</v>
      </c>
      <c r="I11" s="28"/>
      <c r="J11" s="28"/>
      <c r="K11" s="28"/>
      <c r="L11" s="28"/>
      <c r="M11" s="28"/>
      <c r="N11" s="28"/>
      <c r="O11" s="29"/>
      <c r="P11" s="8"/>
      <c r="Q11" s="13" t="s">
        <v>26</v>
      </c>
      <c r="R11" s="28"/>
      <c r="S11" s="28"/>
      <c r="T11" s="28"/>
      <c r="U11" s="28"/>
      <c r="V11" s="28"/>
      <c r="W11" s="28"/>
      <c r="X11" s="29"/>
      <c r="Y11" s="8"/>
      <c r="Z11" s="13" t="s">
        <v>26</v>
      </c>
      <c r="AA11" s="28"/>
      <c r="AB11" s="28"/>
      <c r="AC11" s="28"/>
      <c r="AD11" s="28"/>
      <c r="AE11" s="28"/>
      <c r="AF11" s="28"/>
      <c r="AG11" s="29"/>
      <c r="AH11" s="8"/>
      <c r="BA11" s="13" t="s">
        <v>30</v>
      </c>
      <c r="BB11" s="14"/>
      <c r="BC11" s="14"/>
      <c r="BD11" s="14"/>
      <c r="BE11" s="15"/>
      <c r="BN11" s="13" t="s">
        <v>30</v>
      </c>
      <c r="BO11" s="14"/>
      <c r="BP11" s="14"/>
      <c r="BQ11" s="14"/>
      <c r="BR11" s="15"/>
    </row>
    <row r="12" spans="1:70" ht="15" customHeight="1" x14ac:dyDescent="0.25">
      <c r="A12" s="24"/>
      <c r="B12" s="24"/>
      <c r="C12" s="24"/>
      <c r="D12" s="24"/>
      <c r="E12" s="24"/>
      <c r="F12" s="8"/>
      <c r="G12" s="8"/>
      <c r="H12" s="30"/>
      <c r="I12" s="24"/>
      <c r="J12" s="24"/>
      <c r="K12" s="24"/>
      <c r="L12" s="24"/>
      <c r="M12" s="24"/>
      <c r="N12" s="24"/>
      <c r="O12" s="31"/>
      <c r="P12" s="8"/>
      <c r="Q12" s="30"/>
      <c r="R12" s="24"/>
      <c r="S12" s="24"/>
      <c r="T12" s="24"/>
      <c r="U12" s="24"/>
      <c r="V12" s="24"/>
      <c r="W12" s="24"/>
      <c r="X12" s="31"/>
      <c r="Y12" s="8"/>
      <c r="Z12" s="30"/>
      <c r="AA12" s="24"/>
      <c r="AB12" s="24"/>
      <c r="AC12" s="24"/>
      <c r="AD12" s="24"/>
      <c r="AE12" s="24"/>
      <c r="AF12" s="24"/>
      <c r="AG12" s="31"/>
      <c r="AH12" s="8"/>
      <c r="AK12" s="22" t="s">
        <v>97</v>
      </c>
      <c r="AL12" s="23"/>
      <c r="AM12" s="23"/>
      <c r="AN12" s="23"/>
      <c r="AV12" s="22" t="s">
        <v>22</v>
      </c>
      <c r="AW12" s="23"/>
      <c r="AX12" s="23"/>
      <c r="AY12" s="23"/>
      <c r="BA12" s="16"/>
      <c r="BB12" s="17"/>
      <c r="BC12" s="17"/>
      <c r="BD12" s="17"/>
      <c r="BE12" s="18"/>
      <c r="BI12" s="22" t="s">
        <v>24</v>
      </c>
      <c r="BJ12" s="23"/>
      <c r="BK12" s="23"/>
      <c r="BL12" s="23"/>
      <c r="BN12" s="16"/>
      <c r="BO12" s="17"/>
      <c r="BP12" s="17"/>
      <c r="BQ12" s="17"/>
      <c r="BR12" s="18"/>
    </row>
    <row r="13" spans="1:70" x14ac:dyDescent="0.25">
      <c r="A13" s="24"/>
      <c r="B13" s="24"/>
      <c r="C13" s="24"/>
      <c r="D13" s="24"/>
      <c r="E13" s="24"/>
      <c r="F13" s="8"/>
      <c r="G13" s="8"/>
      <c r="H13" s="32"/>
      <c r="I13" s="33"/>
      <c r="J13" s="33"/>
      <c r="K13" s="33"/>
      <c r="L13" s="33"/>
      <c r="M13" s="33"/>
      <c r="N13" s="33"/>
      <c r="O13" s="34"/>
      <c r="P13" s="8"/>
      <c r="Q13" s="32"/>
      <c r="R13" s="33"/>
      <c r="S13" s="33"/>
      <c r="T13" s="33"/>
      <c r="U13" s="33"/>
      <c r="V13" s="33"/>
      <c r="W13" s="33"/>
      <c r="X13" s="34"/>
      <c r="Y13" s="8"/>
      <c r="Z13" s="32"/>
      <c r="AA13" s="33"/>
      <c r="AB13" s="33"/>
      <c r="AC13" s="33"/>
      <c r="AD13" s="33"/>
      <c r="AE13" s="33"/>
      <c r="AF13" s="33"/>
      <c r="AG13" s="34"/>
      <c r="AH13" s="8"/>
      <c r="AK13" s="23"/>
      <c r="AL13" s="23"/>
      <c r="AM13" s="23"/>
      <c r="AN13" s="23"/>
      <c r="AV13" s="23"/>
      <c r="AW13" s="23"/>
      <c r="AX13" s="23"/>
      <c r="AY13" s="23"/>
      <c r="BA13" s="19"/>
      <c r="BB13" s="20"/>
      <c r="BC13" s="20"/>
      <c r="BD13" s="20"/>
      <c r="BE13" s="21"/>
      <c r="BI13" s="23"/>
      <c r="BJ13" s="23"/>
      <c r="BK13" s="23"/>
      <c r="BL13" s="23"/>
      <c r="BN13" s="19"/>
      <c r="BO13" s="20"/>
      <c r="BP13" s="20"/>
      <c r="BQ13" s="20"/>
      <c r="BR13" s="21"/>
    </row>
    <row r="14" spans="1:70" x14ac:dyDescent="0.25">
      <c r="A14" s="25" t="s">
        <v>74</v>
      </c>
      <c r="B14" s="26"/>
      <c r="C14" s="26"/>
      <c r="D14" s="26"/>
      <c r="E14" s="26"/>
      <c r="F14" s="27"/>
      <c r="G14" s="8"/>
      <c r="H14" s="25" t="s">
        <v>75</v>
      </c>
      <c r="I14" s="26"/>
      <c r="J14" s="26"/>
      <c r="K14" s="26"/>
      <c r="L14" s="26"/>
      <c r="M14" s="27"/>
      <c r="N14" s="8"/>
      <c r="O14" s="25" t="s">
        <v>76</v>
      </c>
      <c r="P14" s="26"/>
      <c r="Q14" s="26"/>
      <c r="R14" s="26"/>
      <c r="S14" s="26"/>
      <c r="T14" s="27"/>
      <c r="U14" s="8"/>
      <c r="V14" s="25" t="s">
        <v>82</v>
      </c>
      <c r="W14" s="26"/>
      <c r="X14" s="26"/>
      <c r="Y14" s="26"/>
      <c r="Z14" s="26"/>
      <c r="AA14" s="27"/>
      <c r="AB14" s="8"/>
      <c r="AC14" s="25" t="s">
        <v>77</v>
      </c>
      <c r="AD14" s="26"/>
      <c r="AE14" s="26"/>
      <c r="AF14" s="26"/>
      <c r="AG14" s="26"/>
      <c r="AH14" s="27"/>
      <c r="AK14" s="6"/>
      <c r="AL14" s="6"/>
      <c r="AM14" s="6"/>
      <c r="AN14" s="6"/>
      <c r="AV14" s="6"/>
      <c r="AW14" s="6"/>
      <c r="AX14" s="6"/>
      <c r="AY14" s="6"/>
      <c r="BI14" s="6"/>
      <c r="BJ14" s="6"/>
      <c r="BK14" s="6"/>
      <c r="BL14" s="6"/>
    </row>
    <row r="15" spans="1:70" x14ac:dyDescent="0.25">
      <c r="A15" t="s">
        <v>86</v>
      </c>
      <c r="B15" t="s">
        <v>6</v>
      </c>
      <c r="C15" t="s">
        <v>17</v>
      </c>
      <c r="D15" t="s">
        <v>7</v>
      </c>
      <c r="E15" t="s">
        <v>19</v>
      </c>
      <c r="F15" t="s">
        <v>20</v>
      </c>
      <c r="H15" t="s">
        <v>86</v>
      </c>
      <c r="I15" t="s">
        <v>6</v>
      </c>
      <c r="J15" t="s">
        <v>17</v>
      </c>
      <c r="K15" t="s">
        <v>7</v>
      </c>
      <c r="L15" t="s">
        <v>19</v>
      </c>
      <c r="M15" t="s">
        <v>20</v>
      </c>
      <c r="O15" t="s">
        <v>86</v>
      </c>
      <c r="P15" t="s">
        <v>6</v>
      </c>
      <c r="Q15" t="s">
        <v>17</v>
      </c>
      <c r="R15" t="s">
        <v>7</v>
      </c>
      <c r="S15" t="s">
        <v>19</v>
      </c>
      <c r="T15" t="s">
        <v>20</v>
      </c>
      <c r="V15" t="s">
        <v>86</v>
      </c>
      <c r="W15" t="s">
        <v>6</v>
      </c>
      <c r="X15" t="s">
        <v>17</v>
      </c>
      <c r="Y15" t="s">
        <v>7</v>
      </c>
      <c r="Z15" t="s">
        <v>19</v>
      </c>
      <c r="AA15" t="s">
        <v>20</v>
      </c>
      <c r="AC15" t="s">
        <v>86</v>
      </c>
      <c r="AD15" t="s">
        <v>6</v>
      </c>
      <c r="AE15" t="s">
        <v>17</v>
      </c>
      <c r="AF15" t="s">
        <v>7</v>
      </c>
      <c r="AG15" t="s">
        <v>19</v>
      </c>
      <c r="AH15" t="s">
        <v>20</v>
      </c>
      <c r="AN15" s="2"/>
    </row>
    <row r="16" spans="1:70" x14ac:dyDescent="0.25">
      <c r="A16" t="s">
        <v>0</v>
      </c>
      <c r="B16" t="s">
        <v>33</v>
      </c>
      <c r="C16" t="s">
        <v>78</v>
      </c>
      <c r="D16">
        <v>111</v>
      </c>
      <c r="E16">
        <v>30</v>
      </c>
      <c r="F16">
        <f>E16/D16</f>
        <v>0.27027027027027029</v>
      </c>
      <c r="H16" t="s">
        <v>0</v>
      </c>
      <c r="I16" t="s">
        <v>33</v>
      </c>
      <c r="J16" t="s">
        <v>80</v>
      </c>
      <c r="K16">
        <v>81</v>
      </c>
      <c r="L16">
        <v>14</v>
      </c>
      <c r="M16">
        <f>L16/K16</f>
        <v>0.1728395061728395</v>
      </c>
      <c r="O16" t="s">
        <v>0</v>
      </c>
      <c r="P16" t="s">
        <v>33</v>
      </c>
      <c r="Q16" t="s">
        <v>83</v>
      </c>
      <c r="R16">
        <v>85</v>
      </c>
      <c r="S16">
        <v>34</v>
      </c>
      <c r="T16">
        <f>S16/R16</f>
        <v>0.4</v>
      </c>
      <c r="V16" t="s">
        <v>0</v>
      </c>
      <c r="W16" t="s">
        <v>33</v>
      </c>
      <c r="X16" t="s">
        <v>84</v>
      </c>
      <c r="Y16">
        <v>83</v>
      </c>
      <c r="Z16">
        <v>70</v>
      </c>
      <c r="AA16">
        <f>Z16/Y16</f>
        <v>0.84337349397590367</v>
      </c>
      <c r="AC16" t="s">
        <v>0</v>
      </c>
      <c r="AD16" t="s">
        <v>33</v>
      </c>
      <c r="AE16" t="s">
        <v>85</v>
      </c>
      <c r="AF16">
        <v>81</v>
      </c>
      <c r="AG16">
        <v>2</v>
      </c>
      <c r="AH16">
        <f>AG16/AF16</f>
        <v>2.4691358024691357E-2</v>
      </c>
      <c r="AL16" t="s">
        <v>0</v>
      </c>
      <c r="AM16" t="s">
        <v>1</v>
      </c>
      <c r="AN16" s="2" t="s">
        <v>2</v>
      </c>
      <c r="AO16" t="s">
        <v>3</v>
      </c>
      <c r="AP16" t="s">
        <v>14</v>
      </c>
      <c r="AQ16" t="s">
        <v>18</v>
      </c>
      <c r="AR16" t="s">
        <v>21</v>
      </c>
      <c r="AS16" t="s">
        <v>29</v>
      </c>
      <c r="AV16" t="s">
        <v>0</v>
      </c>
      <c r="AW16" t="s">
        <v>1</v>
      </c>
      <c r="AX16" s="2" t="s">
        <v>2</v>
      </c>
      <c r="AY16" t="s">
        <v>3</v>
      </c>
      <c r="AZ16" t="s">
        <v>14</v>
      </c>
      <c r="BA16" t="s">
        <v>18</v>
      </c>
      <c r="BB16" t="s">
        <v>21</v>
      </c>
      <c r="BI16" t="s">
        <v>32</v>
      </c>
      <c r="BJ16" t="s">
        <v>33</v>
      </c>
      <c r="BK16" t="s">
        <v>34</v>
      </c>
      <c r="BL16" t="s">
        <v>35</v>
      </c>
      <c r="BM16" t="s">
        <v>36</v>
      </c>
      <c r="BN16" t="s">
        <v>37</v>
      </c>
      <c r="BO16" t="s">
        <v>38</v>
      </c>
      <c r="BP16" s="3" t="s">
        <v>39</v>
      </c>
      <c r="BQ16" t="s">
        <v>40</v>
      </c>
    </row>
    <row r="17" spans="1:69" x14ac:dyDescent="0.25">
      <c r="A17" t="s">
        <v>1</v>
      </c>
      <c r="B17" t="s">
        <v>33</v>
      </c>
      <c r="C17" t="s">
        <v>78</v>
      </c>
      <c r="D17">
        <v>87</v>
      </c>
      <c r="E17">
        <v>22</v>
      </c>
      <c r="F17">
        <f t="shared" ref="F17:F71" si="0">E17/D17</f>
        <v>0.25287356321839083</v>
      </c>
      <c r="H17" t="s">
        <v>1</v>
      </c>
      <c r="I17" t="s">
        <v>33</v>
      </c>
      <c r="J17" t="s">
        <v>80</v>
      </c>
      <c r="K17">
        <v>65</v>
      </c>
      <c r="L17">
        <v>6</v>
      </c>
      <c r="M17">
        <f t="shared" ref="M17:M71" si="1">L17/K17</f>
        <v>9.2307692307692313E-2</v>
      </c>
      <c r="O17" t="s">
        <v>1</v>
      </c>
      <c r="P17" t="s">
        <v>33</v>
      </c>
      <c r="Q17" t="s">
        <v>83</v>
      </c>
      <c r="R17">
        <v>71</v>
      </c>
      <c r="S17">
        <v>20</v>
      </c>
      <c r="T17">
        <f t="shared" ref="T17:T71" si="2">S17/R17</f>
        <v>0.28169014084507044</v>
      </c>
      <c r="V17" t="s">
        <v>1</v>
      </c>
      <c r="W17" t="s">
        <v>33</v>
      </c>
      <c r="X17" t="s">
        <v>84</v>
      </c>
      <c r="Y17">
        <v>72</v>
      </c>
      <c r="Z17">
        <v>66</v>
      </c>
      <c r="AA17">
        <f t="shared" ref="AA17:AA71" si="3">Z17/Y17</f>
        <v>0.91666666666666663</v>
      </c>
      <c r="AC17" t="s">
        <v>1</v>
      </c>
      <c r="AD17" t="s">
        <v>33</v>
      </c>
      <c r="AE17" t="s">
        <v>85</v>
      </c>
      <c r="AF17">
        <v>72</v>
      </c>
      <c r="AG17">
        <v>3</v>
      </c>
      <c r="AH17">
        <f t="shared" ref="AH17:AH71" si="4">AG17/AF17</f>
        <v>4.1666666666666664E-2</v>
      </c>
      <c r="AK17" t="s">
        <v>33</v>
      </c>
      <c r="AL17" s="5">
        <v>0.2923</v>
      </c>
      <c r="AM17" s="5">
        <v>0.2727</v>
      </c>
      <c r="AN17" s="5">
        <v>0.38779999999999998</v>
      </c>
      <c r="AO17" s="5">
        <v>0.17649999999999999</v>
      </c>
      <c r="AP17" s="5">
        <v>0.23680000000000001</v>
      </c>
      <c r="AQ17" s="5">
        <v>0.33329999999999999</v>
      </c>
      <c r="AR17" s="5">
        <v>0.60709999999999997</v>
      </c>
      <c r="AS17" s="5">
        <f>SUMIFS(E$16:$E$71,$B$16:$B$71,AK17)/SUMIFS(D$16:$D$71,$B$16:$B$71,AK17)</f>
        <v>0.31789473684210529</v>
      </c>
      <c r="AU17" t="s">
        <v>87</v>
      </c>
      <c r="AV17" s="5">
        <v>0.5300546448087432</v>
      </c>
      <c r="AW17" s="5">
        <v>0.44207317073170732</v>
      </c>
      <c r="AX17" s="5">
        <v>0.40468227424749165</v>
      </c>
      <c r="AY17" s="5">
        <v>0.43</v>
      </c>
      <c r="AZ17" s="5">
        <v>0.44347826086956521</v>
      </c>
      <c r="BA17" s="5">
        <v>0.45023696682464454</v>
      </c>
      <c r="BB17" s="5">
        <v>0.5347826086956522</v>
      </c>
      <c r="BH17" t="s">
        <v>87</v>
      </c>
      <c r="BI17" s="5">
        <v>0.59130434782608698</v>
      </c>
      <c r="BJ17" s="5">
        <v>0.60709999999999997</v>
      </c>
      <c r="BK17" s="5">
        <v>0.64290000000000003</v>
      </c>
      <c r="BL17" s="5">
        <v>0.45450000000000002</v>
      </c>
      <c r="BM17" s="5">
        <v>0.54549999999999998</v>
      </c>
      <c r="BN17" s="5">
        <v>0.40739999999999998</v>
      </c>
      <c r="BO17" s="5">
        <v>0.70369999999999999</v>
      </c>
      <c r="BP17" s="5">
        <v>0.70369999999999999</v>
      </c>
      <c r="BQ17" s="5">
        <v>0.68569999999999998</v>
      </c>
    </row>
    <row r="18" spans="1:69" x14ac:dyDescent="0.25">
      <c r="A18" t="s">
        <v>2</v>
      </c>
      <c r="B18" t="s">
        <v>33</v>
      </c>
      <c r="C18" t="s">
        <v>79</v>
      </c>
      <c r="D18">
        <v>79</v>
      </c>
      <c r="E18">
        <v>30</v>
      </c>
      <c r="F18">
        <f t="shared" si="0"/>
        <v>0.379746835443038</v>
      </c>
      <c r="H18" t="s">
        <v>2</v>
      </c>
      <c r="I18" t="s">
        <v>33</v>
      </c>
      <c r="J18" t="s">
        <v>81</v>
      </c>
      <c r="K18">
        <v>62</v>
      </c>
      <c r="L18">
        <v>11</v>
      </c>
      <c r="M18">
        <f t="shared" si="1"/>
        <v>0.17741935483870969</v>
      </c>
      <c r="O18" t="s">
        <v>2</v>
      </c>
      <c r="P18" t="s">
        <v>33</v>
      </c>
      <c r="Q18" t="s">
        <v>83</v>
      </c>
      <c r="R18">
        <v>64</v>
      </c>
      <c r="S18">
        <v>25</v>
      </c>
      <c r="T18">
        <f t="shared" si="2"/>
        <v>0.390625</v>
      </c>
      <c r="V18" t="s">
        <v>2</v>
      </c>
      <c r="W18" t="s">
        <v>33</v>
      </c>
      <c r="X18" t="s">
        <v>84</v>
      </c>
      <c r="Y18">
        <v>60</v>
      </c>
      <c r="Z18">
        <v>56</v>
      </c>
      <c r="AA18">
        <f t="shared" si="3"/>
        <v>0.93333333333333335</v>
      </c>
      <c r="AC18" t="s">
        <v>2</v>
      </c>
      <c r="AD18" t="s">
        <v>33</v>
      </c>
      <c r="AE18" t="s">
        <v>85</v>
      </c>
      <c r="AF18">
        <v>62</v>
      </c>
      <c r="AG18">
        <v>4</v>
      </c>
      <c r="AH18">
        <f t="shared" si="4"/>
        <v>6.4516129032258063E-2</v>
      </c>
      <c r="AK18" t="s">
        <v>34</v>
      </c>
      <c r="AL18" s="5">
        <v>0.63639999999999997</v>
      </c>
      <c r="AM18" s="5">
        <v>0.44440000000000002</v>
      </c>
      <c r="AN18" s="5">
        <v>0.4355</v>
      </c>
      <c r="AO18" s="5">
        <v>0.44579999999999997</v>
      </c>
      <c r="AP18" s="5">
        <v>0.4118</v>
      </c>
      <c r="AQ18" s="5">
        <v>0.4</v>
      </c>
      <c r="AR18" s="5">
        <v>0.55359999999999998</v>
      </c>
      <c r="AS18" s="5">
        <f>SUMIFS(E$16:$E$71,$B$16:$B$71,AK18)/SUMIFS(D$16:$D$71,$B$16:$B$71,AK18)</f>
        <v>0.49027777777777776</v>
      </c>
      <c r="AU18" t="s">
        <v>88</v>
      </c>
      <c r="AV18" s="5">
        <v>0.32240437158469948</v>
      </c>
      <c r="AW18" s="5">
        <v>0.25609756097560976</v>
      </c>
      <c r="AX18" s="5">
        <v>0.28093645484949831</v>
      </c>
      <c r="AY18" s="5">
        <v>0.25333333333333335</v>
      </c>
      <c r="AZ18" s="5">
        <v>0.28695652173913044</v>
      </c>
      <c r="BA18" s="5">
        <v>0.27488151658767773</v>
      </c>
      <c r="BB18" s="5">
        <v>0.28695652173913044</v>
      </c>
      <c r="BH18" t="s">
        <v>88</v>
      </c>
      <c r="BI18" s="5">
        <v>0.5347826086956522</v>
      </c>
      <c r="BJ18" s="5">
        <v>0.60709999999999997</v>
      </c>
      <c r="BK18" s="5">
        <v>0.55359999999999998</v>
      </c>
      <c r="BL18" s="5">
        <v>0.45450000000000002</v>
      </c>
      <c r="BM18" s="5">
        <v>0.5</v>
      </c>
      <c r="BN18" s="5">
        <v>0.33329999999999999</v>
      </c>
      <c r="BO18" s="5">
        <v>0.45829999999999999</v>
      </c>
      <c r="BP18" s="5">
        <v>0.59260000000000002</v>
      </c>
      <c r="BQ18" s="5">
        <v>0.65710000000000002</v>
      </c>
    </row>
    <row r="19" spans="1:69" x14ac:dyDescent="0.25">
      <c r="A19" t="s">
        <v>3</v>
      </c>
      <c r="B19" t="s">
        <v>33</v>
      </c>
      <c r="C19" t="s">
        <v>79</v>
      </c>
      <c r="D19">
        <v>49</v>
      </c>
      <c r="E19">
        <v>10</v>
      </c>
      <c r="F19">
        <f t="shared" si="0"/>
        <v>0.20408163265306123</v>
      </c>
      <c r="H19" t="s">
        <v>3</v>
      </c>
      <c r="I19" t="s">
        <v>33</v>
      </c>
      <c r="J19" t="s">
        <v>81</v>
      </c>
      <c r="K19">
        <v>41</v>
      </c>
      <c r="L19">
        <v>8</v>
      </c>
      <c r="M19">
        <f t="shared" si="1"/>
        <v>0.1951219512195122</v>
      </c>
      <c r="O19" t="s">
        <v>3</v>
      </c>
      <c r="P19" t="s">
        <v>33</v>
      </c>
      <c r="Q19" t="s">
        <v>83</v>
      </c>
      <c r="R19">
        <v>41</v>
      </c>
      <c r="S19">
        <v>12</v>
      </c>
      <c r="T19">
        <f t="shared" si="2"/>
        <v>0.29268292682926828</v>
      </c>
      <c r="V19" t="s">
        <v>3</v>
      </c>
      <c r="W19" t="s">
        <v>33</v>
      </c>
      <c r="X19" t="s">
        <v>84</v>
      </c>
      <c r="Y19">
        <v>40</v>
      </c>
      <c r="Z19">
        <v>38</v>
      </c>
      <c r="AA19">
        <f t="shared" si="3"/>
        <v>0.95</v>
      </c>
      <c r="AC19" t="s">
        <v>3</v>
      </c>
      <c r="AD19" t="s">
        <v>33</v>
      </c>
      <c r="AE19" t="s">
        <v>85</v>
      </c>
      <c r="AF19">
        <v>43</v>
      </c>
      <c r="AG19">
        <v>8</v>
      </c>
      <c r="AH19">
        <f t="shared" si="4"/>
        <v>0.18604651162790697</v>
      </c>
      <c r="AK19" t="s">
        <v>35</v>
      </c>
      <c r="AL19" s="5">
        <v>0.52500000000000002</v>
      </c>
      <c r="AM19" s="5">
        <v>0.53129999999999999</v>
      </c>
      <c r="AN19" s="5">
        <v>0.35709999999999997</v>
      </c>
      <c r="AO19" s="5">
        <v>0.4118</v>
      </c>
      <c r="AP19" s="5">
        <v>0.52629999999999999</v>
      </c>
      <c r="AQ19" s="5">
        <v>0.52380000000000004</v>
      </c>
      <c r="AR19" s="5">
        <v>0.5</v>
      </c>
      <c r="AS19" s="5">
        <f>SUMIFS(E$16:$E$71,$B$16:$B$71,AK19)/SUMIFS(D$16:$D$71,$B$16:$B$71,AK19)</f>
        <v>0.48226950354609927</v>
      </c>
      <c r="AU19" t="s">
        <v>89</v>
      </c>
      <c r="AV19" s="5">
        <v>0.62568306010928965</v>
      </c>
      <c r="AW19" s="5">
        <v>0.50609756097560976</v>
      </c>
      <c r="AX19" s="5">
        <v>0.52173913043478259</v>
      </c>
      <c r="AY19" s="5">
        <v>0.52</v>
      </c>
      <c r="AZ19" s="5">
        <v>0.52173913043478259</v>
      </c>
      <c r="BA19" s="5">
        <v>0.53554502369668244</v>
      </c>
      <c r="BB19" s="5">
        <v>0.59130434782608698</v>
      </c>
      <c r="BH19" t="s">
        <v>89</v>
      </c>
      <c r="BI19" s="5">
        <v>0.28695652173913044</v>
      </c>
      <c r="BJ19" s="5">
        <v>0.28570000000000001</v>
      </c>
      <c r="BK19" s="5">
        <v>0.25</v>
      </c>
      <c r="BL19" s="5">
        <v>9.0899999999999995E-2</v>
      </c>
      <c r="BM19" s="5">
        <v>0.2727</v>
      </c>
      <c r="BN19" s="5">
        <v>0.22220000000000001</v>
      </c>
      <c r="BO19" s="5">
        <v>0.33329999999999999</v>
      </c>
      <c r="BP19" s="5">
        <v>0.44440000000000002</v>
      </c>
      <c r="BQ19" s="5">
        <v>0.31430000000000002</v>
      </c>
    </row>
    <row r="20" spans="1:69" x14ac:dyDescent="0.25">
      <c r="A20" t="s">
        <v>14</v>
      </c>
      <c r="B20" t="s">
        <v>33</v>
      </c>
      <c r="C20" t="s">
        <v>79</v>
      </c>
      <c r="D20">
        <v>62</v>
      </c>
      <c r="E20">
        <v>14</v>
      </c>
      <c r="F20">
        <f t="shared" si="0"/>
        <v>0.22580645161290322</v>
      </c>
      <c r="H20" t="s">
        <v>14</v>
      </c>
      <c r="I20" t="s">
        <v>33</v>
      </c>
      <c r="J20" t="s">
        <v>81</v>
      </c>
      <c r="K20">
        <v>46</v>
      </c>
      <c r="L20">
        <v>11</v>
      </c>
      <c r="M20">
        <f t="shared" si="1"/>
        <v>0.2391304347826087</v>
      </c>
      <c r="O20" t="s">
        <v>14</v>
      </c>
      <c r="P20" t="s">
        <v>33</v>
      </c>
      <c r="Q20" t="s">
        <v>83</v>
      </c>
      <c r="R20">
        <v>48</v>
      </c>
      <c r="S20">
        <v>16</v>
      </c>
      <c r="T20">
        <f t="shared" si="2"/>
        <v>0.33333333333333331</v>
      </c>
      <c r="V20" t="s">
        <v>14</v>
      </c>
      <c r="W20" t="s">
        <v>33</v>
      </c>
      <c r="X20" t="s">
        <v>84</v>
      </c>
      <c r="Y20">
        <v>49</v>
      </c>
      <c r="Z20">
        <v>36</v>
      </c>
      <c r="AA20">
        <f t="shared" si="3"/>
        <v>0.73469387755102045</v>
      </c>
      <c r="AC20" t="s">
        <v>14</v>
      </c>
      <c r="AD20" t="s">
        <v>33</v>
      </c>
      <c r="AE20" t="s">
        <v>85</v>
      </c>
      <c r="AF20">
        <v>50</v>
      </c>
      <c r="AG20">
        <v>9</v>
      </c>
      <c r="AH20">
        <f t="shared" si="4"/>
        <v>0.18</v>
      </c>
      <c r="AK20" t="s">
        <v>36</v>
      </c>
      <c r="AL20" s="5">
        <v>0.5</v>
      </c>
      <c r="AM20" s="5">
        <v>0.6</v>
      </c>
      <c r="AN20" s="5">
        <v>0.5</v>
      </c>
      <c r="AO20" s="5">
        <v>0.57140000000000002</v>
      </c>
      <c r="AP20" s="5">
        <v>0.75</v>
      </c>
      <c r="AQ20" s="5">
        <v>0.5</v>
      </c>
      <c r="AR20" s="5">
        <v>0.45450000000000002</v>
      </c>
      <c r="AS20" s="5">
        <f>SUMIFS(E$16:$E$71,$B$16:$B$71,AK20)/SUMIFS(D$16:$D$71,$B$16:$B$71,AK20)</f>
        <v>0.52760736196319014</v>
      </c>
      <c r="AV20" s="5"/>
      <c r="AW20" s="5"/>
      <c r="AX20" s="5"/>
      <c r="AY20" s="5"/>
      <c r="AZ20" s="5"/>
      <c r="BA20" s="5"/>
      <c r="BH20" t="s">
        <v>90</v>
      </c>
      <c r="BI20" s="5">
        <v>0.59130434782608698</v>
      </c>
      <c r="BJ20" s="5">
        <v>0.59130434782608698</v>
      </c>
      <c r="BK20" s="5">
        <v>0.59130434782608698</v>
      </c>
      <c r="BL20" s="5">
        <v>0.59130434782608698</v>
      </c>
      <c r="BM20">
        <v>0.59130434782608698</v>
      </c>
      <c r="BN20" s="5">
        <v>0.59130434782608698</v>
      </c>
      <c r="BO20" s="5">
        <v>0.59130434782608698</v>
      </c>
      <c r="BP20" s="5">
        <v>0.59130434782608698</v>
      </c>
      <c r="BQ20" s="5">
        <v>0.59130434782608698</v>
      </c>
    </row>
    <row r="21" spans="1:69" x14ac:dyDescent="0.25">
      <c r="A21" t="s">
        <v>18</v>
      </c>
      <c r="B21" t="s">
        <v>33</v>
      </c>
      <c r="C21" t="s">
        <v>79</v>
      </c>
      <c r="D21">
        <v>44</v>
      </c>
      <c r="E21">
        <v>16</v>
      </c>
      <c r="F21">
        <f t="shared" si="0"/>
        <v>0.36363636363636365</v>
      </c>
      <c r="H21" t="s">
        <v>18</v>
      </c>
      <c r="I21" t="s">
        <v>33</v>
      </c>
      <c r="J21" t="s">
        <v>81</v>
      </c>
      <c r="K21">
        <v>39</v>
      </c>
      <c r="L21">
        <v>6</v>
      </c>
      <c r="M21">
        <f t="shared" si="1"/>
        <v>0.15384615384615385</v>
      </c>
      <c r="O21" t="s">
        <v>18</v>
      </c>
      <c r="P21" t="s">
        <v>33</v>
      </c>
      <c r="Q21" t="s">
        <v>83</v>
      </c>
      <c r="R21">
        <v>36</v>
      </c>
      <c r="S21">
        <v>17</v>
      </c>
      <c r="T21">
        <f t="shared" si="2"/>
        <v>0.47222222222222221</v>
      </c>
      <c r="V21" t="s">
        <v>18</v>
      </c>
      <c r="W21" t="s">
        <v>33</v>
      </c>
      <c r="X21" t="s">
        <v>84</v>
      </c>
      <c r="Y21">
        <v>39</v>
      </c>
      <c r="Z21">
        <v>34</v>
      </c>
      <c r="AA21">
        <f t="shared" si="3"/>
        <v>0.87179487179487181</v>
      </c>
      <c r="AC21" t="s">
        <v>18</v>
      </c>
      <c r="AD21" t="s">
        <v>33</v>
      </c>
      <c r="AE21" t="s">
        <v>85</v>
      </c>
      <c r="AF21">
        <v>38</v>
      </c>
      <c r="AG21">
        <v>1</v>
      </c>
      <c r="AH21">
        <f t="shared" si="4"/>
        <v>2.6315789473684209E-2</v>
      </c>
      <c r="AK21" t="s">
        <v>37</v>
      </c>
      <c r="AL21" s="5">
        <v>0.51019999999999999</v>
      </c>
      <c r="AM21" s="5">
        <v>0.42220000000000002</v>
      </c>
      <c r="AN21" s="5">
        <v>0.30299999999999999</v>
      </c>
      <c r="AO21" s="5">
        <v>0.42499999999999999</v>
      </c>
      <c r="AP21" s="5">
        <v>0.3871</v>
      </c>
      <c r="AQ21" s="5">
        <v>0.5</v>
      </c>
      <c r="AR21" s="5">
        <v>0.33329999999999999</v>
      </c>
      <c r="AS21" s="5">
        <f>SUMIFS(E$16:$E$71,$B$16:$B$71,AK21)/SUMIFS(D$16:$D$71,$B$16:$B$71,AK21)</f>
        <v>0.42893401015228427</v>
      </c>
      <c r="AV21" s="2"/>
      <c r="AW21" s="5"/>
      <c r="AX21" s="5"/>
      <c r="AY21" s="5"/>
      <c r="AZ21" s="5"/>
      <c r="BA21" s="5"/>
      <c r="BH21" t="s">
        <v>91</v>
      </c>
      <c r="BI21" s="5">
        <v>0.5347826086956522</v>
      </c>
      <c r="BJ21" s="5">
        <v>0.5347826086956522</v>
      </c>
      <c r="BK21" s="5">
        <v>0.5347826086956522</v>
      </c>
      <c r="BL21" s="5">
        <v>0.5347826086956522</v>
      </c>
      <c r="BM21">
        <v>0.5347826086956522</v>
      </c>
      <c r="BN21" s="5">
        <v>0.5347826086956522</v>
      </c>
      <c r="BO21" s="5">
        <v>0.5347826086956522</v>
      </c>
      <c r="BP21" s="5">
        <v>0.5347826086956522</v>
      </c>
      <c r="BQ21" s="5">
        <v>0.5347826086956522</v>
      </c>
    </row>
    <row r="22" spans="1:69" x14ac:dyDescent="0.25">
      <c r="A22" t="s">
        <v>21</v>
      </c>
      <c r="B22" t="s">
        <v>33</v>
      </c>
      <c r="C22" t="s">
        <v>79</v>
      </c>
      <c r="D22">
        <v>43</v>
      </c>
      <c r="E22">
        <v>29</v>
      </c>
      <c r="F22">
        <f t="shared" si="0"/>
        <v>0.67441860465116277</v>
      </c>
      <c r="H22" t="s">
        <v>21</v>
      </c>
      <c r="I22" t="s">
        <v>33</v>
      </c>
      <c r="J22" t="s">
        <v>81</v>
      </c>
      <c r="K22">
        <v>37</v>
      </c>
      <c r="L22">
        <v>10</v>
      </c>
      <c r="M22">
        <f t="shared" si="1"/>
        <v>0.27027027027027029</v>
      </c>
      <c r="O22" t="s">
        <v>21</v>
      </c>
      <c r="P22" t="s">
        <v>33</v>
      </c>
      <c r="Q22" t="s">
        <v>83</v>
      </c>
      <c r="R22">
        <v>35</v>
      </c>
      <c r="S22">
        <v>22</v>
      </c>
      <c r="T22">
        <f t="shared" si="2"/>
        <v>0.62857142857142856</v>
      </c>
      <c r="V22" t="s">
        <v>21</v>
      </c>
      <c r="W22" t="s">
        <v>33</v>
      </c>
      <c r="X22" t="s">
        <v>84</v>
      </c>
      <c r="Y22">
        <v>34</v>
      </c>
      <c r="Z22">
        <v>32</v>
      </c>
      <c r="AA22">
        <f t="shared" si="3"/>
        <v>0.94117647058823528</v>
      </c>
      <c r="AC22" t="s">
        <v>21</v>
      </c>
      <c r="AD22" t="s">
        <v>33</v>
      </c>
      <c r="AE22" t="s">
        <v>85</v>
      </c>
      <c r="AF22">
        <v>34</v>
      </c>
      <c r="AG22">
        <v>4</v>
      </c>
      <c r="AH22">
        <f t="shared" si="4"/>
        <v>0.11764705882352941</v>
      </c>
      <c r="AK22" t="s">
        <v>38</v>
      </c>
      <c r="AL22" s="5">
        <v>0.57140000000000002</v>
      </c>
      <c r="AM22" s="5">
        <v>0.46150000000000002</v>
      </c>
      <c r="AN22" s="5">
        <v>0.42859999999999998</v>
      </c>
      <c r="AO22" s="5">
        <v>0.45650000000000002</v>
      </c>
      <c r="AP22" s="5">
        <v>0.48</v>
      </c>
      <c r="AQ22" s="5">
        <v>0.55559999999999998</v>
      </c>
      <c r="AR22" s="5">
        <v>0.45829999999999999</v>
      </c>
      <c r="AS22" s="5">
        <f>SUMIFS(E$16:$E$71,$B$16:$B$71,AK22)/SUMIFS(D$16:$D$71,$B$16:$B$71,AK22)</f>
        <v>0.49593495934959347</v>
      </c>
      <c r="AU22" s="3"/>
      <c r="AV22" s="2"/>
      <c r="AW22" s="5"/>
      <c r="AX22" s="5"/>
      <c r="AY22" s="5"/>
      <c r="AZ22" s="5"/>
      <c r="BA22" s="5"/>
      <c r="BH22" t="s">
        <v>92</v>
      </c>
      <c r="BI22" s="5">
        <v>0.28695652173913044</v>
      </c>
      <c r="BJ22" s="5">
        <v>0.28695652173913044</v>
      </c>
      <c r="BK22" s="5">
        <v>0.28695652173913044</v>
      </c>
      <c r="BL22" s="5">
        <v>0.28695652173913044</v>
      </c>
      <c r="BM22">
        <v>0.28695652173913044</v>
      </c>
      <c r="BN22" s="5">
        <v>0.28695652173913044</v>
      </c>
      <c r="BO22" s="5">
        <v>0.28695652173913044</v>
      </c>
      <c r="BP22" s="5">
        <v>0.28695652173913044</v>
      </c>
      <c r="BQ22" s="5">
        <v>0.28695652173913044</v>
      </c>
    </row>
    <row r="23" spans="1:69" x14ac:dyDescent="0.25">
      <c r="A23" t="s">
        <v>0</v>
      </c>
      <c r="B23" t="s">
        <v>34</v>
      </c>
      <c r="C23" t="s">
        <v>79</v>
      </c>
      <c r="D23">
        <v>123</v>
      </c>
      <c r="E23">
        <v>79</v>
      </c>
      <c r="F23">
        <f t="shared" si="0"/>
        <v>0.64227642276422769</v>
      </c>
      <c r="H23" t="s">
        <v>0</v>
      </c>
      <c r="I23" t="s">
        <v>34</v>
      </c>
      <c r="J23" t="s">
        <v>81</v>
      </c>
      <c r="K23">
        <v>95</v>
      </c>
      <c r="L23">
        <v>36</v>
      </c>
      <c r="M23">
        <f t="shared" si="1"/>
        <v>0.37894736842105264</v>
      </c>
      <c r="O23" t="s">
        <v>0</v>
      </c>
      <c r="P23" t="s">
        <v>34</v>
      </c>
      <c r="Q23" t="s">
        <v>83</v>
      </c>
      <c r="R23">
        <v>101</v>
      </c>
      <c r="S23">
        <v>68</v>
      </c>
      <c r="T23">
        <f t="shared" si="2"/>
        <v>0.67326732673267331</v>
      </c>
      <c r="V23" t="s">
        <v>0</v>
      </c>
      <c r="W23" t="s">
        <v>34</v>
      </c>
      <c r="X23" t="s">
        <v>84</v>
      </c>
      <c r="Y23">
        <v>91</v>
      </c>
      <c r="Z23">
        <v>80</v>
      </c>
      <c r="AA23">
        <f t="shared" si="3"/>
        <v>0.87912087912087911</v>
      </c>
      <c r="AC23" t="s">
        <v>0</v>
      </c>
      <c r="AD23" t="s">
        <v>34</v>
      </c>
      <c r="AE23" t="s">
        <v>85</v>
      </c>
      <c r="AF23">
        <v>97</v>
      </c>
      <c r="AG23">
        <v>21</v>
      </c>
      <c r="AH23">
        <f t="shared" si="4"/>
        <v>0.21649484536082475</v>
      </c>
      <c r="AK23" s="3" t="s">
        <v>39</v>
      </c>
      <c r="AL23" s="5">
        <v>0.58819999999999995</v>
      </c>
      <c r="AM23" s="5">
        <v>0.44829999999999998</v>
      </c>
      <c r="AN23" s="5">
        <v>0.42109999999999997</v>
      </c>
      <c r="AO23" s="5">
        <v>0.48</v>
      </c>
      <c r="AP23" s="5">
        <v>0.47620000000000001</v>
      </c>
      <c r="AQ23" s="5">
        <v>0.52380000000000004</v>
      </c>
      <c r="AR23" s="5">
        <v>0.59260000000000002</v>
      </c>
      <c r="AS23" s="5">
        <f>SUMIFS(E$16:$E$71,$B$16:$B$71,AK23)/SUMIFS(D$16:$D$71,$B$16:$B$71,AK23)</f>
        <v>0.48809523809523808</v>
      </c>
      <c r="AV23" s="2"/>
      <c r="AW23" s="5"/>
      <c r="AX23" s="5"/>
      <c r="AY23" s="5"/>
      <c r="AZ23" s="5"/>
      <c r="BA23" s="5"/>
      <c r="BI23" s="5"/>
      <c r="BJ23" s="5"/>
      <c r="BK23" s="5"/>
      <c r="BL23" s="5"/>
      <c r="BM23" s="5"/>
      <c r="BN23" s="5"/>
      <c r="BO23" s="5"/>
      <c r="BP23" s="5"/>
    </row>
    <row r="24" spans="1:69" x14ac:dyDescent="0.25">
      <c r="A24" t="s">
        <v>1</v>
      </c>
      <c r="B24" t="s">
        <v>34</v>
      </c>
      <c r="C24" t="s">
        <v>79</v>
      </c>
      <c r="D24">
        <v>127</v>
      </c>
      <c r="E24">
        <v>53</v>
      </c>
      <c r="F24">
        <f t="shared" si="0"/>
        <v>0.41732283464566927</v>
      </c>
      <c r="H24" t="s">
        <v>1</v>
      </c>
      <c r="I24" t="s">
        <v>34</v>
      </c>
      <c r="J24" t="s">
        <v>81</v>
      </c>
      <c r="K24">
        <v>103</v>
      </c>
      <c r="L24">
        <v>27</v>
      </c>
      <c r="M24">
        <f t="shared" si="1"/>
        <v>0.26213592233009708</v>
      </c>
      <c r="O24" t="s">
        <v>1</v>
      </c>
      <c r="P24" t="s">
        <v>34</v>
      </c>
      <c r="Q24" t="s">
        <v>83</v>
      </c>
      <c r="R24">
        <v>98</v>
      </c>
      <c r="S24">
        <v>50</v>
      </c>
      <c r="T24">
        <f t="shared" si="2"/>
        <v>0.51020408163265307</v>
      </c>
      <c r="V24" t="s">
        <v>1</v>
      </c>
      <c r="W24" t="s">
        <v>34</v>
      </c>
      <c r="X24" t="s">
        <v>84</v>
      </c>
      <c r="Y24">
        <v>103</v>
      </c>
      <c r="Z24">
        <v>80</v>
      </c>
      <c r="AA24">
        <f t="shared" si="3"/>
        <v>0.77669902912621358</v>
      </c>
      <c r="AC24" t="s">
        <v>1</v>
      </c>
      <c r="AD24" t="s">
        <v>34</v>
      </c>
      <c r="AE24" t="s">
        <v>85</v>
      </c>
      <c r="AF24">
        <v>99</v>
      </c>
      <c r="AG24">
        <v>13</v>
      </c>
      <c r="AH24">
        <f t="shared" si="4"/>
        <v>0.13131313131313133</v>
      </c>
      <c r="AK24" t="s">
        <v>40</v>
      </c>
      <c r="AL24" s="5">
        <v>0.64580000000000004</v>
      </c>
      <c r="AM24" s="5">
        <v>0.54290000000000005</v>
      </c>
      <c r="AN24" s="5">
        <v>0.3962</v>
      </c>
      <c r="AO24" s="5">
        <v>0.5</v>
      </c>
      <c r="AP24" s="5">
        <v>0.57889999999999997</v>
      </c>
      <c r="AQ24" s="5">
        <v>0.43480000000000002</v>
      </c>
      <c r="AR24" s="5">
        <v>0.65710000000000002</v>
      </c>
      <c r="AS24" s="5">
        <f>SUMIFS(E$16:$E$71,$B$16:$B$71,AK24)/SUMIFS(D$16:$D$71,$B$16:$B$71,AK24)</f>
        <v>0.5518072289156627</v>
      </c>
      <c r="BI24" s="5"/>
      <c r="BJ24" s="5"/>
      <c r="BK24" s="5"/>
      <c r="BL24" s="5"/>
      <c r="BM24" s="5"/>
      <c r="BN24" s="5"/>
      <c r="BO24" s="5"/>
      <c r="BP24" s="5"/>
    </row>
    <row r="25" spans="1:69" x14ac:dyDescent="0.25">
      <c r="A25" t="s">
        <v>2</v>
      </c>
      <c r="B25" t="s">
        <v>34</v>
      </c>
      <c r="C25" t="s">
        <v>79</v>
      </c>
      <c r="D25">
        <v>88</v>
      </c>
      <c r="E25">
        <v>38</v>
      </c>
      <c r="F25">
        <f t="shared" si="0"/>
        <v>0.43181818181818182</v>
      </c>
      <c r="H25" t="s">
        <v>2</v>
      </c>
      <c r="I25" t="s">
        <v>34</v>
      </c>
      <c r="J25" t="s">
        <v>81</v>
      </c>
      <c r="K25">
        <v>78</v>
      </c>
      <c r="L25">
        <v>25</v>
      </c>
      <c r="M25">
        <f t="shared" si="1"/>
        <v>0.32051282051282054</v>
      </c>
      <c r="O25" t="s">
        <v>2</v>
      </c>
      <c r="P25" t="s">
        <v>34</v>
      </c>
      <c r="Q25" t="s">
        <v>83</v>
      </c>
      <c r="R25">
        <v>75</v>
      </c>
      <c r="S25">
        <v>46</v>
      </c>
      <c r="T25">
        <f t="shared" si="2"/>
        <v>0.61333333333333329</v>
      </c>
      <c r="V25" t="s">
        <v>2</v>
      </c>
      <c r="W25" t="s">
        <v>34</v>
      </c>
      <c r="X25" t="s">
        <v>84</v>
      </c>
      <c r="Y25">
        <v>77</v>
      </c>
      <c r="Z25">
        <v>57</v>
      </c>
      <c r="AA25">
        <f t="shared" si="3"/>
        <v>0.74025974025974028</v>
      </c>
      <c r="AC25" t="s">
        <v>2</v>
      </c>
      <c r="AD25" t="s">
        <v>34</v>
      </c>
      <c r="AE25" t="s">
        <v>85</v>
      </c>
      <c r="AF25">
        <v>79</v>
      </c>
      <c r="AG25">
        <v>6</v>
      </c>
      <c r="AH25">
        <f t="shared" si="4"/>
        <v>7.5949367088607597E-2</v>
      </c>
      <c r="BI25" s="5"/>
      <c r="BJ25" s="5"/>
      <c r="BK25" s="5"/>
      <c r="BL25" s="5"/>
      <c r="BM25" s="5"/>
      <c r="BN25" s="5"/>
      <c r="BO25" s="5"/>
      <c r="BP25" s="5"/>
    </row>
    <row r="26" spans="1:69" x14ac:dyDescent="0.25">
      <c r="A26" t="s">
        <v>3</v>
      </c>
      <c r="B26" t="s">
        <v>34</v>
      </c>
      <c r="C26" t="s">
        <v>79</v>
      </c>
      <c r="D26">
        <v>131</v>
      </c>
      <c r="E26">
        <v>60</v>
      </c>
      <c r="F26">
        <f t="shared" si="0"/>
        <v>0.4580152671755725</v>
      </c>
      <c r="H26" t="s">
        <v>3</v>
      </c>
      <c r="I26" t="s">
        <v>34</v>
      </c>
      <c r="J26" t="s">
        <v>81</v>
      </c>
      <c r="K26">
        <v>108</v>
      </c>
      <c r="L26">
        <v>24</v>
      </c>
      <c r="M26">
        <f t="shared" si="1"/>
        <v>0.22222222222222221</v>
      </c>
      <c r="O26" t="s">
        <v>3</v>
      </c>
      <c r="P26" t="s">
        <v>34</v>
      </c>
      <c r="Q26" t="s">
        <v>83</v>
      </c>
      <c r="R26">
        <v>105</v>
      </c>
      <c r="S26">
        <v>57</v>
      </c>
      <c r="T26">
        <f t="shared" si="2"/>
        <v>0.54285714285714282</v>
      </c>
      <c r="V26" t="s">
        <v>3</v>
      </c>
      <c r="W26" t="s">
        <v>34</v>
      </c>
      <c r="X26" t="s">
        <v>84</v>
      </c>
      <c r="Y26">
        <v>108</v>
      </c>
      <c r="Z26">
        <v>86</v>
      </c>
      <c r="AA26">
        <f t="shared" si="3"/>
        <v>0.79629629629629628</v>
      </c>
      <c r="AC26" t="s">
        <v>3</v>
      </c>
      <c r="AD26" t="s">
        <v>34</v>
      </c>
      <c r="AE26" t="s">
        <v>85</v>
      </c>
      <c r="AF26">
        <v>104</v>
      </c>
      <c r="AG26">
        <v>13</v>
      </c>
      <c r="AH26">
        <f t="shared" si="4"/>
        <v>0.125</v>
      </c>
      <c r="AL26" t="s">
        <v>0</v>
      </c>
      <c r="AM26" t="s">
        <v>1</v>
      </c>
      <c r="AN26" s="2" t="s">
        <v>2</v>
      </c>
      <c r="AO26" t="s">
        <v>3</v>
      </c>
      <c r="AP26" t="s">
        <v>14</v>
      </c>
      <c r="AQ26" t="s">
        <v>18</v>
      </c>
      <c r="AR26" t="s">
        <v>21</v>
      </c>
      <c r="AS26" t="s">
        <v>29</v>
      </c>
    </row>
    <row r="27" spans="1:69" x14ac:dyDescent="0.25">
      <c r="A27" t="s">
        <v>14</v>
      </c>
      <c r="B27" t="s">
        <v>34</v>
      </c>
      <c r="C27" t="s">
        <v>79</v>
      </c>
      <c r="D27">
        <v>82</v>
      </c>
      <c r="E27">
        <v>33</v>
      </c>
      <c r="F27">
        <f t="shared" si="0"/>
        <v>0.40243902439024393</v>
      </c>
      <c r="H27" t="s">
        <v>14</v>
      </c>
      <c r="I27" t="s">
        <v>34</v>
      </c>
      <c r="J27" t="s">
        <v>81</v>
      </c>
      <c r="K27">
        <v>62</v>
      </c>
      <c r="L27">
        <v>17</v>
      </c>
      <c r="M27">
        <f t="shared" si="1"/>
        <v>0.27419354838709675</v>
      </c>
      <c r="O27" t="s">
        <v>14</v>
      </c>
      <c r="P27" t="s">
        <v>34</v>
      </c>
      <c r="Q27" t="s">
        <v>83</v>
      </c>
      <c r="R27">
        <v>61</v>
      </c>
      <c r="S27">
        <v>31</v>
      </c>
      <c r="T27">
        <f t="shared" si="2"/>
        <v>0.50819672131147542</v>
      </c>
      <c r="V27" t="s">
        <v>14</v>
      </c>
      <c r="W27" t="s">
        <v>34</v>
      </c>
      <c r="X27" t="s">
        <v>84</v>
      </c>
      <c r="Y27">
        <v>62</v>
      </c>
      <c r="Z27">
        <v>53</v>
      </c>
      <c r="AA27">
        <f t="shared" si="3"/>
        <v>0.85483870967741937</v>
      </c>
      <c r="AC27" t="s">
        <v>14</v>
      </c>
      <c r="AD27" t="s">
        <v>34</v>
      </c>
      <c r="AE27" t="s">
        <v>85</v>
      </c>
      <c r="AF27">
        <v>66</v>
      </c>
      <c r="AG27">
        <v>11</v>
      </c>
      <c r="AH27">
        <f t="shared" si="4"/>
        <v>0.16666666666666666</v>
      </c>
      <c r="AK27" t="s">
        <v>27</v>
      </c>
      <c r="AL27">
        <v>445</v>
      </c>
      <c r="AM27">
        <v>405</v>
      </c>
      <c r="AN27">
        <v>369</v>
      </c>
      <c r="AO27">
        <v>368</v>
      </c>
      <c r="AP27">
        <v>289</v>
      </c>
      <c r="AQ27">
        <v>256</v>
      </c>
      <c r="AR27">
        <v>288</v>
      </c>
      <c r="AS27">
        <f>SUM(AL27:AR27)</f>
        <v>2420</v>
      </c>
      <c r="AU27" s="1"/>
      <c r="AV27" s="2"/>
      <c r="AW27" s="2"/>
      <c r="AX27" s="2"/>
      <c r="AY27" s="2"/>
      <c r="AZ27" s="2"/>
      <c r="BA27" s="2"/>
    </row>
    <row r="28" spans="1:69" x14ac:dyDescent="0.25">
      <c r="A28" t="s">
        <v>18</v>
      </c>
      <c r="B28" t="s">
        <v>34</v>
      </c>
      <c r="C28" t="s">
        <v>79</v>
      </c>
      <c r="D28">
        <v>86</v>
      </c>
      <c r="E28">
        <v>38</v>
      </c>
      <c r="F28">
        <f t="shared" si="0"/>
        <v>0.44186046511627908</v>
      </c>
      <c r="H28" t="s">
        <v>18</v>
      </c>
      <c r="I28" t="s">
        <v>34</v>
      </c>
      <c r="J28" t="s">
        <v>81</v>
      </c>
      <c r="K28">
        <v>74</v>
      </c>
      <c r="L28">
        <v>13</v>
      </c>
      <c r="M28">
        <f t="shared" si="1"/>
        <v>0.17567567567567569</v>
      </c>
      <c r="O28" t="s">
        <v>18</v>
      </c>
      <c r="P28" t="s">
        <v>34</v>
      </c>
      <c r="Q28" t="s">
        <v>83</v>
      </c>
      <c r="R28">
        <v>75</v>
      </c>
      <c r="S28">
        <v>31</v>
      </c>
      <c r="T28">
        <f t="shared" si="2"/>
        <v>0.41333333333333333</v>
      </c>
      <c r="V28" t="s">
        <v>18</v>
      </c>
      <c r="W28" t="s">
        <v>34</v>
      </c>
      <c r="X28" t="s">
        <v>84</v>
      </c>
      <c r="Y28">
        <v>77</v>
      </c>
      <c r="Z28">
        <v>61</v>
      </c>
      <c r="AA28">
        <f t="shared" si="3"/>
        <v>0.79220779220779225</v>
      </c>
      <c r="AC28" t="s">
        <v>18</v>
      </c>
      <c r="AD28" t="s">
        <v>34</v>
      </c>
      <c r="AE28" t="s">
        <v>85</v>
      </c>
      <c r="AF28">
        <v>74</v>
      </c>
      <c r="AG28">
        <v>10</v>
      </c>
      <c r="AH28">
        <f t="shared" si="4"/>
        <v>0.13513513513513514</v>
      </c>
      <c r="AK28" t="s">
        <v>94</v>
      </c>
      <c r="AL28">
        <v>245</v>
      </c>
      <c r="AM28">
        <v>187</v>
      </c>
      <c r="AN28">
        <v>154</v>
      </c>
      <c r="AO28">
        <v>160</v>
      </c>
      <c r="AP28">
        <v>130</v>
      </c>
      <c r="AQ28">
        <v>125</v>
      </c>
      <c r="AR28">
        <v>158</v>
      </c>
      <c r="AS28">
        <f>SUM(AL28:AR28)</f>
        <v>1159</v>
      </c>
    </row>
    <row r="29" spans="1:69" x14ac:dyDescent="0.25">
      <c r="A29" t="s">
        <v>21</v>
      </c>
      <c r="B29" t="s">
        <v>34</v>
      </c>
      <c r="C29" t="s">
        <v>79</v>
      </c>
      <c r="D29">
        <v>83</v>
      </c>
      <c r="E29">
        <v>52</v>
      </c>
      <c r="F29">
        <f t="shared" si="0"/>
        <v>0.62650602409638556</v>
      </c>
      <c r="H29" t="s">
        <v>21</v>
      </c>
      <c r="I29" t="s">
        <v>34</v>
      </c>
      <c r="J29" t="s">
        <v>81</v>
      </c>
      <c r="K29">
        <v>69</v>
      </c>
      <c r="L29">
        <v>18</v>
      </c>
      <c r="M29">
        <f t="shared" si="1"/>
        <v>0.2608695652173913</v>
      </c>
      <c r="O29" t="s">
        <v>21</v>
      </c>
      <c r="P29" t="s">
        <v>34</v>
      </c>
      <c r="Q29" t="s">
        <v>83</v>
      </c>
      <c r="R29">
        <v>69</v>
      </c>
      <c r="S29">
        <v>45</v>
      </c>
      <c r="T29">
        <f t="shared" si="2"/>
        <v>0.65217391304347827</v>
      </c>
      <c r="V29" t="s">
        <v>21</v>
      </c>
      <c r="W29" t="s">
        <v>34</v>
      </c>
      <c r="X29" t="s">
        <v>84</v>
      </c>
      <c r="Y29">
        <v>69</v>
      </c>
      <c r="Z29">
        <v>64</v>
      </c>
      <c r="AA29">
        <f t="shared" si="3"/>
        <v>0.92753623188405798</v>
      </c>
      <c r="AC29" t="s">
        <v>21</v>
      </c>
      <c r="AD29" t="s">
        <v>34</v>
      </c>
      <c r="AE29" t="s">
        <v>85</v>
      </c>
      <c r="AF29">
        <v>71</v>
      </c>
      <c r="AG29">
        <v>8</v>
      </c>
      <c r="AH29">
        <f t="shared" si="4"/>
        <v>0.11267605633802817</v>
      </c>
      <c r="AK29" s="1" t="s">
        <v>28</v>
      </c>
      <c r="AL29" s="5">
        <f>AL28/AL27</f>
        <v>0.550561797752809</v>
      </c>
      <c r="AM29" s="5">
        <f t="shared" ref="AM29:AP29" si="5">AM28/AM27</f>
        <v>0.46172839506172841</v>
      </c>
      <c r="AN29" s="5">
        <f t="shared" si="5"/>
        <v>0.41734417344173441</v>
      </c>
      <c r="AO29" s="5">
        <f t="shared" si="5"/>
        <v>0.43478260869565216</v>
      </c>
      <c r="AP29" s="5">
        <f t="shared" si="5"/>
        <v>0.44982698961937717</v>
      </c>
      <c r="AQ29" s="5">
        <f t="shared" ref="AQ29:AS29" si="6">AQ28/AQ27</f>
        <v>0.48828125</v>
      </c>
      <c r="AR29" s="5">
        <f t="shared" si="6"/>
        <v>0.54861111111111116</v>
      </c>
      <c r="AS29" s="5">
        <f t="shared" si="6"/>
        <v>0.47892561983471077</v>
      </c>
      <c r="BK29" s="3"/>
    </row>
    <row r="30" spans="1:69" x14ac:dyDescent="0.25">
      <c r="A30" t="s">
        <v>0</v>
      </c>
      <c r="B30" t="s">
        <v>35</v>
      </c>
      <c r="C30" t="s">
        <v>79</v>
      </c>
      <c r="D30">
        <v>62</v>
      </c>
      <c r="E30">
        <v>30</v>
      </c>
      <c r="F30">
        <f t="shared" si="0"/>
        <v>0.4838709677419355</v>
      </c>
      <c r="H30" t="s">
        <v>0</v>
      </c>
      <c r="I30" t="s">
        <v>35</v>
      </c>
      <c r="J30" t="s">
        <v>81</v>
      </c>
      <c r="K30">
        <v>52</v>
      </c>
      <c r="L30">
        <v>20</v>
      </c>
      <c r="M30">
        <f t="shared" si="1"/>
        <v>0.38461538461538464</v>
      </c>
      <c r="O30" t="s">
        <v>0</v>
      </c>
      <c r="P30" t="s">
        <v>35</v>
      </c>
      <c r="Q30" t="s">
        <v>83</v>
      </c>
      <c r="R30">
        <v>48</v>
      </c>
      <c r="S30">
        <v>31</v>
      </c>
      <c r="T30">
        <f t="shared" si="2"/>
        <v>0.64583333333333337</v>
      </c>
      <c r="V30" t="s">
        <v>0</v>
      </c>
      <c r="W30" t="s">
        <v>35</v>
      </c>
      <c r="X30" t="s">
        <v>84</v>
      </c>
      <c r="Y30">
        <v>52</v>
      </c>
      <c r="Z30">
        <v>39</v>
      </c>
      <c r="AA30">
        <f t="shared" si="3"/>
        <v>0.75</v>
      </c>
      <c r="AC30" t="s">
        <v>0</v>
      </c>
      <c r="AD30" t="s">
        <v>35</v>
      </c>
      <c r="AE30" t="s">
        <v>85</v>
      </c>
      <c r="AF30">
        <v>49</v>
      </c>
      <c r="AG30">
        <v>11</v>
      </c>
      <c r="AH30">
        <f t="shared" si="4"/>
        <v>0.22448979591836735</v>
      </c>
    </row>
    <row r="31" spans="1:69" x14ac:dyDescent="0.25">
      <c r="A31" t="s">
        <v>1</v>
      </c>
      <c r="B31" t="s">
        <v>35</v>
      </c>
      <c r="C31" t="s">
        <v>79</v>
      </c>
      <c r="D31">
        <v>51</v>
      </c>
      <c r="E31">
        <v>28</v>
      </c>
      <c r="F31">
        <f t="shared" si="0"/>
        <v>0.5490196078431373</v>
      </c>
      <c r="H31" t="s">
        <v>1</v>
      </c>
      <c r="I31" t="s">
        <v>35</v>
      </c>
      <c r="J31" t="s">
        <v>81</v>
      </c>
      <c r="K31">
        <v>38</v>
      </c>
      <c r="L31">
        <v>11</v>
      </c>
      <c r="M31">
        <f t="shared" si="1"/>
        <v>0.28947368421052633</v>
      </c>
      <c r="O31" t="s">
        <v>1</v>
      </c>
      <c r="P31" t="s">
        <v>35</v>
      </c>
      <c r="Q31" t="s">
        <v>83</v>
      </c>
      <c r="R31">
        <v>40</v>
      </c>
      <c r="S31">
        <v>24</v>
      </c>
      <c r="T31">
        <f t="shared" si="2"/>
        <v>0.6</v>
      </c>
      <c r="V31" t="s">
        <v>1</v>
      </c>
      <c r="W31" t="s">
        <v>35</v>
      </c>
      <c r="X31" t="s">
        <v>84</v>
      </c>
      <c r="Y31">
        <v>38</v>
      </c>
      <c r="Z31">
        <v>27</v>
      </c>
      <c r="AA31">
        <f t="shared" si="3"/>
        <v>0.71052631578947367</v>
      </c>
      <c r="AC31" t="s">
        <v>1</v>
      </c>
      <c r="AD31" t="s">
        <v>35</v>
      </c>
      <c r="AE31" t="s">
        <v>85</v>
      </c>
      <c r="AF31">
        <v>40</v>
      </c>
      <c r="AG31">
        <v>7</v>
      </c>
      <c r="AH31">
        <f t="shared" si="4"/>
        <v>0.17499999999999999</v>
      </c>
    </row>
    <row r="32" spans="1:69" ht="15" customHeight="1" x14ac:dyDescent="0.25">
      <c r="A32" t="s">
        <v>2</v>
      </c>
      <c r="B32" t="s">
        <v>35</v>
      </c>
      <c r="C32" t="s">
        <v>79</v>
      </c>
      <c r="D32">
        <v>48</v>
      </c>
      <c r="E32">
        <v>16</v>
      </c>
      <c r="F32">
        <f t="shared" si="0"/>
        <v>0.33333333333333331</v>
      </c>
      <c r="H32" t="s">
        <v>2</v>
      </c>
      <c r="I32" t="s">
        <v>35</v>
      </c>
      <c r="J32" t="s">
        <v>81</v>
      </c>
      <c r="K32">
        <v>37</v>
      </c>
      <c r="L32">
        <v>10</v>
      </c>
      <c r="M32">
        <f t="shared" si="1"/>
        <v>0.27027027027027029</v>
      </c>
      <c r="O32" t="s">
        <v>2</v>
      </c>
      <c r="P32" t="s">
        <v>35</v>
      </c>
      <c r="Q32" t="s">
        <v>83</v>
      </c>
      <c r="R32">
        <v>36</v>
      </c>
      <c r="S32">
        <v>19</v>
      </c>
      <c r="T32">
        <f t="shared" si="2"/>
        <v>0.52777777777777779</v>
      </c>
      <c r="V32" t="s">
        <v>2</v>
      </c>
      <c r="W32" t="s">
        <v>35</v>
      </c>
      <c r="X32" t="s">
        <v>84</v>
      </c>
      <c r="Y32">
        <v>33</v>
      </c>
      <c r="Z32">
        <v>29</v>
      </c>
      <c r="AA32">
        <f t="shared" si="3"/>
        <v>0.87878787878787878</v>
      </c>
      <c r="AC32" t="s">
        <v>2</v>
      </c>
      <c r="AD32" t="s">
        <v>35</v>
      </c>
      <c r="AE32" t="s">
        <v>85</v>
      </c>
      <c r="AF32">
        <v>34</v>
      </c>
      <c r="AG32">
        <v>8</v>
      </c>
      <c r="AH32">
        <f t="shared" si="4"/>
        <v>0.23529411764705882</v>
      </c>
      <c r="AK32" s="22" t="s">
        <v>98</v>
      </c>
      <c r="AL32" s="22"/>
      <c r="AM32" s="22"/>
      <c r="AN32" s="22"/>
    </row>
    <row r="33" spans="1:73" x14ac:dyDescent="0.25">
      <c r="A33" t="s">
        <v>3</v>
      </c>
      <c r="B33" t="s">
        <v>35</v>
      </c>
      <c r="C33" t="s">
        <v>79</v>
      </c>
      <c r="D33">
        <v>27</v>
      </c>
      <c r="E33">
        <v>12</v>
      </c>
      <c r="F33">
        <f t="shared" si="0"/>
        <v>0.44444444444444442</v>
      </c>
      <c r="H33" t="s">
        <v>3</v>
      </c>
      <c r="I33" t="s">
        <v>35</v>
      </c>
      <c r="J33" t="s">
        <v>81</v>
      </c>
      <c r="K33">
        <v>21</v>
      </c>
      <c r="L33">
        <v>2</v>
      </c>
      <c r="M33">
        <f t="shared" si="1"/>
        <v>9.5238095238095233E-2</v>
      </c>
      <c r="O33" t="s">
        <v>3</v>
      </c>
      <c r="P33" t="s">
        <v>35</v>
      </c>
      <c r="Q33" t="s">
        <v>83</v>
      </c>
      <c r="R33">
        <v>22</v>
      </c>
      <c r="S33">
        <v>9</v>
      </c>
      <c r="T33">
        <f t="shared" si="2"/>
        <v>0.40909090909090912</v>
      </c>
      <c r="V33" t="s">
        <v>3</v>
      </c>
      <c r="W33" t="s">
        <v>35</v>
      </c>
      <c r="X33" t="s">
        <v>84</v>
      </c>
      <c r="Y33">
        <v>22</v>
      </c>
      <c r="Z33">
        <v>19</v>
      </c>
      <c r="AA33">
        <f t="shared" si="3"/>
        <v>0.86363636363636365</v>
      </c>
      <c r="AC33" t="s">
        <v>3</v>
      </c>
      <c r="AD33" t="s">
        <v>35</v>
      </c>
      <c r="AE33" t="s">
        <v>85</v>
      </c>
      <c r="AF33">
        <v>21</v>
      </c>
      <c r="AG33">
        <v>5</v>
      </c>
      <c r="AH33">
        <f t="shared" si="4"/>
        <v>0.23809523809523808</v>
      </c>
      <c r="AK33" s="22"/>
      <c r="AL33" s="22"/>
      <c r="AM33" s="22"/>
      <c r="AN33" s="22"/>
    </row>
    <row r="34" spans="1:73" x14ac:dyDescent="0.25">
      <c r="A34" t="s">
        <v>14</v>
      </c>
      <c r="B34" t="s">
        <v>35</v>
      </c>
      <c r="C34" t="s">
        <v>79</v>
      </c>
      <c r="D34">
        <v>28</v>
      </c>
      <c r="E34">
        <v>15</v>
      </c>
      <c r="F34">
        <f t="shared" si="0"/>
        <v>0.5357142857142857</v>
      </c>
      <c r="H34" t="s">
        <v>14</v>
      </c>
      <c r="I34" t="s">
        <v>35</v>
      </c>
      <c r="J34" t="s">
        <v>81</v>
      </c>
      <c r="K34">
        <v>25</v>
      </c>
      <c r="L34">
        <v>8</v>
      </c>
      <c r="M34">
        <f t="shared" si="1"/>
        <v>0.32</v>
      </c>
      <c r="O34" t="s">
        <v>14</v>
      </c>
      <c r="P34" t="s">
        <v>35</v>
      </c>
      <c r="Q34" t="s">
        <v>83</v>
      </c>
      <c r="R34">
        <v>24</v>
      </c>
      <c r="S34">
        <v>15</v>
      </c>
      <c r="T34">
        <f t="shared" si="2"/>
        <v>0.625</v>
      </c>
      <c r="V34" t="s">
        <v>14</v>
      </c>
      <c r="W34" t="s">
        <v>35</v>
      </c>
      <c r="X34" t="s">
        <v>84</v>
      </c>
      <c r="Y34">
        <v>23</v>
      </c>
      <c r="Z34">
        <v>18</v>
      </c>
      <c r="AA34">
        <f t="shared" si="3"/>
        <v>0.78260869565217395</v>
      </c>
      <c r="AC34" t="s">
        <v>14</v>
      </c>
      <c r="AD34" t="s">
        <v>35</v>
      </c>
      <c r="AE34" t="s">
        <v>85</v>
      </c>
      <c r="AF34">
        <v>23</v>
      </c>
      <c r="AG34">
        <v>4</v>
      </c>
      <c r="AH34">
        <f t="shared" si="4"/>
        <v>0.17391304347826086</v>
      </c>
      <c r="AN34" s="2"/>
    </row>
    <row r="35" spans="1:73" x14ac:dyDescent="0.25">
      <c r="A35" t="s">
        <v>18</v>
      </c>
      <c r="B35" t="s">
        <v>35</v>
      </c>
      <c r="C35" t="s">
        <v>79</v>
      </c>
      <c r="D35">
        <v>31</v>
      </c>
      <c r="E35">
        <v>17</v>
      </c>
      <c r="F35">
        <f t="shared" si="0"/>
        <v>0.54838709677419351</v>
      </c>
      <c r="H35" t="s">
        <v>18</v>
      </c>
      <c r="I35" t="s">
        <v>35</v>
      </c>
      <c r="J35" t="s">
        <v>81</v>
      </c>
      <c r="K35">
        <v>28</v>
      </c>
      <c r="L35">
        <v>6</v>
      </c>
      <c r="M35">
        <f t="shared" si="1"/>
        <v>0.21428571428571427</v>
      </c>
      <c r="O35" t="s">
        <v>18</v>
      </c>
      <c r="P35" t="s">
        <v>35</v>
      </c>
      <c r="Q35" t="s">
        <v>83</v>
      </c>
      <c r="R35">
        <v>25</v>
      </c>
      <c r="S35">
        <v>15</v>
      </c>
      <c r="T35">
        <f t="shared" si="2"/>
        <v>0.6</v>
      </c>
      <c r="V35" t="s">
        <v>18</v>
      </c>
      <c r="W35" t="s">
        <v>35</v>
      </c>
      <c r="X35" t="s">
        <v>84</v>
      </c>
      <c r="Y35">
        <v>27</v>
      </c>
      <c r="Z35">
        <v>19</v>
      </c>
      <c r="AA35">
        <f t="shared" si="3"/>
        <v>0.70370370370370372</v>
      </c>
      <c r="AC35" t="s">
        <v>18</v>
      </c>
      <c r="AD35" t="s">
        <v>35</v>
      </c>
      <c r="AE35" t="s">
        <v>85</v>
      </c>
      <c r="AF35">
        <v>26</v>
      </c>
      <c r="AG35">
        <v>5</v>
      </c>
      <c r="AH35">
        <f t="shared" si="4"/>
        <v>0.19230769230769232</v>
      </c>
      <c r="AL35" t="s">
        <v>0</v>
      </c>
      <c r="AM35" t="s">
        <v>1</v>
      </c>
      <c r="AN35" s="2" t="s">
        <v>2</v>
      </c>
      <c r="AO35" t="s">
        <v>3</v>
      </c>
      <c r="AP35" t="s">
        <v>14</v>
      </c>
      <c r="AQ35" t="s">
        <v>18</v>
      </c>
      <c r="AR35" t="s">
        <v>21</v>
      </c>
      <c r="AS35" t="s">
        <v>29</v>
      </c>
    </row>
    <row r="36" spans="1:73" x14ac:dyDescent="0.25">
      <c r="A36" t="s">
        <v>21</v>
      </c>
      <c r="B36" t="s">
        <v>35</v>
      </c>
      <c r="C36" t="s">
        <v>79</v>
      </c>
      <c r="D36">
        <v>35</v>
      </c>
      <c r="E36">
        <v>18</v>
      </c>
      <c r="F36">
        <f t="shared" si="0"/>
        <v>0.51428571428571423</v>
      </c>
      <c r="H36" t="s">
        <v>21</v>
      </c>
      <c r="I36" t="s">
        <v>35</v>
      </c>
      <c r="J36" t="s">
        <v>81</v>
      </c>
      <c r="K36">
        <v>27</v>
      </c>
      <c r="L36">
        <v>8</v>
      </c>
      <c r="M36">
        <f t="shared" si="1"/>
        <v>0.29629629629629628</v>
      </c>
      <c r="O36" t="s">
        <v>21</v>
      </c>
      <c r="P36" t="s">
        <v>35</v>
      </c>
      <c r="Q36" t="s">
        <v>83</v>
      </c>
      <c r="R36">
        <v>27</v>
      </c>
      <c r="S36">
        <v>15</v>
      </c>
      <c r="T36">
        <f t="shared" si="2"/>
        <v>0.55555555555555558</v>
      </c>
      <c r="V36" t="s">
        <v>21</v>
      </c>
      <c r="W36" t="s">
        <v>35</v>
      </c>
      <c r="X36" t="s">
        <v>84</v>
      </c>
      <c r="Y36">
        <v>26</v>
      </c>
      <c r="Z36">
        <v>19</v>
      </c>
      <c r="AA36">
        <f t="shared" si="3"/>
        <v>0.73076923076923073</v>
      </c>
      <c r="AC36" t="s">
        <v>21</v>
      </c>
      <c r="AD36" t="s">
        <v>35</v>
      </c>
      <c r="AE36" t="s">
        <v>85</v>
      </c>
      <c r="AF36">
        <v>28</v>
      </c>
      <c r="AG36">
        <v>10</v>
      </c>
      <c r="AH36">
        <f t="shared" si="4"/>
        <v>0.35714285714285715</v>
      </c>
      <c r="AK36" t="s">
        <v>33</v>
      </c>
      <c r="AL36" s="5">
        <v>0.18459999999999999</v>
      </c>
      <c r="AM36" s="5">
        <v>9.0899999999999995E-2</v>
      </c>
      <c r="AN36" s="5">
        <v>0.1837</v>
      </c>
      <c r="AO36" s="5">
        <v>0.17649999999999999</v>
      </c>
      <c r="AP36" s="5">
        <v>0.23680000000000001</v>
      </c>
      <c r="AQ36" s="5">
        <v>0.16669999999999999</v>
      </c>
      <c r="AR36" s="5">
        <v>0.28570000000000001</v>
      </c>
      <c r="AS36" s="5">
        <f>SUMIFS(L$16:$L$71,$I$16:$I$71,AK36)/SUMIFS(K$16:$K$71,$I$16:$I$71,AK36)</f>
        <v>0.17789757412398921</v>
      </c>
    </row>
    <row r="37" spans="1:73" x14ac:dyDescent="0.25">
      <c r="A37" t="s">
        <v>0</v>
      </c>
      <c r="B37" t="s">
        <v>36</v>
      </c>
      <c r="C37" t="s">
        <v>79</v>
      </c>
      <c r="D37">
        <v>34</v>
      </c>
      <c r="E37">
        <v>17</v>
      </c>
      <c r="F37">
        <f t="shared" si="0"/>
        <v>0.5</v>
      </c>
      <c r="H37" t="s">
        <v>0</v>
      </c>
      <c r="I37" t="s">
        <v>36</v>
      </c>
      <c r="J37" t="s">
        <v>81</v>
      </c>
      <c r="K37">
        <v>27</v>
      </c>
      <c r="L37">
        <v>6</v>
      </c>
      <c r="M37">
        <f t="shared" si="1"/>
        <v>0.22222222222222221</v>
      </c>
      <c r="O37" t="s">
        <v>0</v>
      </c>
      <c r="P37" t="s">
        <v>36</v>
      </c>
      <c r="Q37" t="s">
        <v>83</v>
      </c>
      <c r="R37">
        <v>28</v>
      </c>
      <c r="S37">
        <v>15</v>
      </c>
      <c r="T37">
        <f t="shared" si="2"/>
        <v>0.5357142857142857</v>
      </c>
      <c r="V37" t="s">
        <v>0</v>
      </c>
      <c r="W37" t="s">
        <v>36</v>
      </c>
      <c r="X37" t="s">
        <v>84</v>
      </c>
      <c r="Y37">
        <v>29</v>
      </c>
      <c r="Z37">
        <v>21</v>
      </c>
      <c r="AA37">
        <f t="shared" si="3"/>
        <v>0.72413793103448276</v>
      </c>
      <c r="AC37" t="s">
        <v>0</v>
      </c>
      <c r="AD37" t="s">
        <v>36</v>
      </c>
      <c r="AE37" t="s">
        <v>85</v>
      </c>
      <c r="AF37">
        <v>27</v>
      </c>
      <c r="AG37">
        <v>9</v>
      </c>
      <c r="AH37">
        <f t="shared" si="4"/>
        <v>0.33333333333333331</v>
      </c>
      <c r="AK37" t="s">
        <v>34</v>
      </c>
      <c r="AL37" s="5">
        <v>0.36359999999999998</v>
      </c>
      <c r="AM37" s="5">
        <v>0.27160000000000001</v>
      </c>
      <c r="AN37" s="5">
        <v>0.3226</v>
      </c>
      <c r="AO37" s="5">
        <v>0.24099999999999999</v>
      </c>
      <c r="AP37" s="5">
        <v>0.25490000000000002</v>
      </c>
      <c r="AQ37" s="5">
        <v>0.16669999999999999</v>
      </c>
      <c r="AR37" s="5">
        <v>0.25</v>
      </c>
      <c r="AS37" s="5">
        <f>SUMIFS(L$16:$L$71,$I$16:$I$71,AK37)/SUMIFS(K$16:$K$71,$I$16:$I$71,AK37)</f>
        <v>0.27164685908319186</v>
      </c>
    </row>
    <row r="38" spans="1:73" x14ac:dyDescent="0.25">
      <c r="A38" t="s">
        <v>1</v>
      </c>
      <c r="B38" t="s">
        <v>36</v>
      </c>
      <c r="C38" t="s">
        <v>79</v>
      </c>
      <c r="D38">
        <v>23</v>
      </c>
      <c r="E38">
        <v>14</v>
      </c>
      <c r="F38">
        <f t="shared" si="0"/>
        <v>0.60869565217391308</v>
      </c>
      <c r="H38" t="s">
        <v>1</v>
      </c>
      <c r="I38" t="s">
        <v>36</v>
      </c>
      <c r="J38" t="s">
        <v>81</v>
      </c>
      <c r="K38">
        <v>19</v>
      </c>
      <c r="L38">
        <v>9</v>
      </c>
      <c r="M38">
        <f t="shared" si="1"/>
        <v>0.47368421052631576</v>
      </c>
      <c r="O38" t="s">
        <v>1</v>
      </c>
      <c r="P38" t="s">
        <v>36</v>
      </c>
      <c r="Q38" t="s">
        <v>83</v>
      </c>
      <c r="R38">
        <v>19</v>
      </c>
      <c r="S38">
        <v>11</v>
      </c>
      <c r="T38">
        <f t="shared" si="2"/>
        <v>0.57894736842105265</v>
      </c>
      <c r="V38" t="s">
        <v>1</v>
      </c>
      <c r="W38" t="s">
        <v>36</v>
      </c>
      <c r="X38" t="s">
        <v>84</v>
      </c>
      <c r="Y38">
        <v>19</v>
      </c>
      <c r="Z38">
        <v>11</v>
      </c>
      <c r="AA38">
        <f t="shared" si="3"/>
        <v>0.57894736842105265</v>
      </c>
      <c r="AC38" t="s">
        <v>1</v>
      </c>
      <c r="AD38" t="s">
        <v>36</v>
      </c>
      <c r="AE38" t="s">
        <v>85</v>
      </c>
      <c r="AF38">
        <v>19</v>
      </c>
      <c r="AG38">
        <v>4</v>
      </c>
      <c r="AH38">
        <f t="shared" si="4"/>
        <v>0.21052631578947367</v>
      </c>
      <c r="AK38" t="s">
        <v>35</v>
      </c>
      <c r="AL38" s="5">
        <v>0.375</v>
      </c>
      <c r="AM38" s="5">
        <v>0.28129999999999999</v>
      </c>
      <c r="AN38" s="5">
        <v>0.28570000000000001</v>
      </c>
      <c r="AO38" s="5">
        <v>0.1176</v>
      </c>
      <c r="AP38" s="5">
        <v>0.36840000000000001</v>
      </c>
      <c r="AQ38" s="5">
        <v>0.23810000000000001</v>
      </c>
      <c r="AR38" s="5">
        <v>0.2727</v>
      </c>
      <c r="AS38" s="5">
        <f>SUMIFS(L$16:$L$71,$I$16:$I$71,AK38)/SUMIFS(K$16:$K$71,$I$16:$I$71,AK38)</f>
        <v>0.28508771929824561</v>
      </c>
    </row>
    <row r="39" spans="1:73" x14ac:dyDescent="0.25">
      <c r="A39" t="s">
        <v>2</v>
      </c>
      <c r="B39" t="s">
        <v>36</v>
      </c>
      <c r="C39" t="s">
        <v>79</v>
      </c>
      <c r="D39">
        <v>34</v>
      </c>
      <c r="E39">
        <v>17</v>
      </c>
      <c r="F39">
        <f t="shared" si="0"/>
        <v>0.5</v>
      </c>
      <c r="H39" t="s">
        <v>2</v>
      </c>
      <c r="I39" t="s">
        <v>36</v>
      </c>
      <c r="J39" t="s">
        <v>81</v>
      </c>
      <c r="K39">
        <v>29</v>
      </c>
      <c r="L39">
        <v>11</v>
      </c>
      <c r="M39">
        <f t="shared" si="1"/>
        <v>0.37931034482758619</v>
      </c>
      <c r="O39" t="s">
        <v>2</v>
      </c>
      <c r="P39" t="s">
        <v>36</v>
      </c>
      <c r="Q39" t="s">
        <v>83</v>
      </c>
      <c r="R39">
        <v>28</v>
      </c>
      <c r="S39">
        <v>16</v>
      </c>
      <c r="T39">
        <f t="shared" si="2"/>
        <v>0.5714285714285714</v>
      </c>
      <c r="V39" t="s">
        <v>2</v>
      </c>
      <c r="W39" t="s">
        <v>36</v>
      </c>
      <c r="X39" t="s">
        <v>84</v>
      </c>
      <c r="Y39">
        <v>27</v>
      </c>
      <c r="Z39">
        <v>20</v>
      </c>
      <c r="AA39">
        <f t="shared" si="3"/>
        <v>0.7407407407407407</v>
      </c>
      <c r="AC39" t="s">
        <v>2</v>
      </c>
      <c r="AD39" t="s">
        <v>36</v>
      </c>
      <c r="AE39" t="s">
        <v>85</v>
      </c>
      <c r="AF39">
        <v>28</v>
      </c>
      <c r="AG39">
        <v>6</v>
      </c>
      <c r="AH39">
        <f t="shared" si="4"/>
        <v>0.21428571428571427</v>
      </c>
      <c r="AK39" t="s">
        <v>36</v>
      </c>
      <c r="AL39" s="5">
        <v>0.2273</v>
      </c>
      <c r="AM39" s="5">
        <v>0.4667</v>
      </c>
      <c r="AN39" s="5">
        <v>0.40910000000000002</v>
      </c>
      <c r="AO39" s="5">
        <v>0.28570000000000001</v>
      </c>
      <c r="AP39" s="5">
        <v>0.25</v>
      </c>
      <c r="AQ39" s="5">
        <v>0.33329999999999999</v>
      </c>
      <c r="AR39" s="5">
        <v>9.0899999999999995E-2</v>
      </c>
      <c r="AS39" s="5">
        <f>SUMIFS(L$16:$L$71,$I$16:$I$71,AK39)/SUMIFS(K$16:$K$71,$I$16:$I$71,AK39)</f>
        <v>0.29104477611940299</v>
      </c>
    </row>
    <row r="40" spans="1:73" x14ac:dyDescent="0.25">
      <c r="A40" t="s">
        <v>3</v>
      </c>
      <c r="B40" t="s">
        <v>36</v>
      </c>
      <c r="C40" t="s">
        <v>79</v>
      </c>
      <c r="D40">
        <v>34</v>
      </c>
      <c r="E40">
        <v>17</v>
      </c>
      <c r="F40">
        <f t="shared" si="0"/>
        <v>0.5</v>
      </c>
      <c r="H40" t="s">
        <v>3</v>
      </c>
      <c r="I40" t="s">
        <v>36</v>
      </c>
      <c r="J40" t="s">
        <v>81</v>
      </c>
      <c r="K40">
        <v>27</v>
      </c>
      <c r="L40">
        <v>8</v>
      </c>
      <c r="M40">
        <f t="shared" si="1"/>
        <v>0.29629629629629628</v>
      </c>
      <c r="O40" t="s">
        <v>3</v>
      </c>
      <c r="P40" t="s">
        <v>36</v>
      </c>
      <c r="Q40" t="s">
        <v>83</v>
      </c>
      <c r="R40">
        <v>27</v>
      </c>
      <c r="S40">
        <v>17</v>
      </c>
      <c r="T40">
        <f t="shared" si="2"/>
        <v>0.62962962962962965</v>
      </c>
      <c r="V40" t="s">
        <v>3</v>
      </c>
      <c r="W40" t="s">
        <v>36</v>
      </c>
      <c r="X40" t="s">
        <v>84</v>
      </c>
      <c r="Y40">
        <v>25</v>
      </c>
      <c r="Z40">
        <v>20</v>
      </c>
      <c r="AA40">
        <f t="shared" si="3"/>
        <v>0.8</v>
      </c>
      <c r="AC40" t="s">
        <v>3</v>
      </c>
      <c r="AD40" t="s">
        <v>36</v>
      </c>
      <c r="AE40" t="s">
        <v>85</v>
      </c>
      <c r="AF40">
        <v>26</v>
      </c>
      <c r="AG40">
        <v>7</v>
      </c>
      <c r="AH40">
        <f t="shared" si="4"/>
        <v>0.26923076923076922</v>
      </c>
      <c r="AK40" t="s">
        <v>37</v>
      </c>
      <c r="AL40" s="5">
        <v>0.32650000000000001</v>
      </c>
      <c r="AM40" s="5">
        <v>0.26669999999999999</v>
      </c>
      <c r="AN40" s="5">
        <v>0.30299999999999999</v>
      </c>
      <c r="AO40" s="5">
        <v>0.35</v>
      </c>
      <c r="AP40" s="5">
        <v>0.2903</v>
      </c>
      <c r="AQ40" s="5">
        <v>0.375</v>
      </c>
      <c r="AR40" s="5">
        <v>0.22220000000000001</v>
      </c>
      <c r="AS40" s="5">
        <f>SUMIFS(L$16:$L$71,$I$16:$I$71,AK40)/SUMIFS(K$16:$K$71,$I$16:$I$71,AK40)</f>
        <v>0.31366459627329191</v>
      </c>
    </row>
    <row r="41" spans="1:73" x14ac:dyDescent="0.25">
      <c r="A41" t="s">
        <v>14</v>
      </c>
      <c r="B41" t="s">
        <v>36</v>
      </c>
      <c r="C41" t="s">
        <v>79</v>
      </c>
      <c r="D41">
        <v>12</v>
      </c>
      <c r="E41">
        <v>8</v>
      </c>
      <c r="F41">
        <f t="shared" si="0"/>
        <v>0.66666666666666663</v>
      </c>
      <c r="H41" t="s">
        <v>14</v>
      </c>
      <c r="I41" t="s">
        <v>36</v>
      </c>
      <c r="J41" t="s">
        <v>81</v>
      </c>
      <c r="K41">
        <v>10</v>
      </c>
      <c r="L41">
        <v>2</v>
      </c>
      <c r="M41">
        <f t="shared" si="1"/>
        <v>0.2</v>
      </c>
      <c r="O41" t="s">
        <v>14</v>
      </c>
      <c r="P41" t="s">
        <v>36</v>
      </c>
      <c r="Q41" t="s">
        <v>83</v>
      </c>
      <c r="R41">
        <v>10</v>
      </c>
      <c r="S41">
        <v>7</v>
      </c>
      <c r="T41">
        <f t="shared" si="2"/>
        <v>0.7</v>
      </c>
      <c r="V41" t="s">
        <v>14</v>
      </c>
      <c r="W41" t="s">
        <v>36</v>
      </c>
      <c r="X41" t="s">
        <v>84</v>
      </c>
      <c r="Y41">
        <v>10</v>
      </c>
      <c r="Z41">
        <v>5</v>
      </c>
      <c r="AA41">
        <f t="shared" si="3"/>
        <v>0.5</v>
      </c>
      <c r="AC41" t="s">
        <v>14</v>
      </c>
      <c r="AD41" t="s">
        <v>36</v>
      </c>
      <c r="AE41" t="s">
        <v>85</v>
      </c>
      <c r="AF41">
        <v>10</v>
      </c>
      <c r="AG41">
        <v>3</v>
      </c>
      <c r="AH41">
        <f t="shared" si="4"/>
        <v>0.3</v>
      </c>
      <c r="AK41" t="s">
        <v>38</v>
      </c>
      <c r="AL41" s="5">
        <v>0.34689999999999999</v>
      </c>
      <c r="AM41" s="5">
        <v>0.30769999999999997</v>
      </c>
      <c r="AN41" s="5">
        <v>0.28570000000000001</v>
      </c>
      <c r="AO41" s="5">
        <v>0.26090000000000002</v>
      </c>
      <c r="AP41" s="5">
        <v>0.4</v>
      </c>
      <c r="AQ41" s="5">
        <v>0.38890000000000002</v>
      </c>
      <c r="AR41" s="5">
        <v>0.33329999999999999</v>
      </c>
      <c r="AS41" s="5">
        <f>SUMIFS(L$16:$L$71,$I$16:$I$71,AK41)/SUMIFS(K$16:$K$71,$I$16:$I$71,AK41)</f>
        <v>0.31972789115646261</v>
      </c>
    </row>
    <row r="42" spans="1:73" x14ac:dyDescent="0.25">
      <c r="A42" t="s">
        <v>18</v>
      </c>
      <c r="B42" t="s">
        <v>36</v>
      </c>
      <c r="C42" t="s">
        <v>79</v>
      </c>
      <c r="D42">
        <v>9</v>
      </c>
      <c r="E42">
        <v>5</v>
      </c>
      <c r="F42">
        <f t="shared" si="0"/>
        <v>0.55555555555555558</v>
      </c>
      <c r="H42" t="s">
        <v>18</v>
      </c>
      <c r="I42" t="s">
        <v>36</v>
      </c>
      <c r="J42" t="s">
        <v>81</v>
      </c>
      <c r="K42">
        <v>8</v>
      </c>
      <c r="L42">
        <v>2</v>
      </c>
      <c r="M42">
        <f t="shared" si="1"/>
        <v>0.25</v>
      </c>
      <c r="O42" t="s">
        <v>18</v>
      </c>
      <c r="P42" t="s">
        <v>36</v>
      </c>
      <c r="Q42" t="s">
        <v>83</v>
      </c>
      <c r="R42">
        <v>8</v>
      </c>
      <c r="S42">
        <v>4</v>
      </c>
      <c r="T42">
        <f t="shared" si="2"/>
        <v>0.5</v>
      </c>
      <c r="V42" t="s">
        <v>18</v>
      </c>
      <c r="W42" t="s">
        <v>36</v>
      </c>
      <c r="X42" t="s">
        <v>84</v>
      </c>
      <c r="Y42">
        <v>8</v>
      </c>
      <c r="Z42">
        <v>4</v>
      </c>
      <c r="AA42">
        <f t="shared" si="3"/>
        <v>0.5</v>
      </c>
      <c r="AC42" t="s">
        <v>18</v>
      </c>
      <c r="AD42" t="s">
        <v>36</v>
      </c>
      <c r="AE42" t="s">
        <v>85</v>
      </c>
      <c r="AF42">
        <v>8</v>
      </c>
      <c r="AG42">
        <v>1</v>
      </c>
      <c r="AH42">
        <f t="shared" si="4"/>
        <v>0.125</v>
      </c>
      <c r="AK42" s="3" t="s">
        <v>39</v>
      </c>
      <c r="AL42" s="5">
        <v>0.35289999999999999</v>
      </c>
      <c r="AM42" s="5">
        <v>0.1724</v>
      </c>
      <c r="AN42" s="5">
        <v>0.1053</v>
      </c>
      <c r="AO42" s="5">
        <v>0.32</v>
      </c>
      <c r="AP42" s="5">
        <v>0.33329999999999999</v>
      </c>
      <c r="AQ42" s="5">
        <v>0.38100000000000001</v>
      </c>
      <c r="AR42" s="5">
        <v>0.44440000000000002</v>
      </c>
      <c r="AS42" s="5">
        <f>SUMIFS(L$16:$L$71,$I$16:$I$71,AK42)/SUMIFS(K$16:$K$71,$I$16:$I$71,AK42)</f>
        <v>0.3</v>
      </c>
    </row>
    <row r="43" spans="1:73" x14ac:dyDescent="0.25">
      <c r="A43" t="s">
        <v>21</v>
      </c>
      <c r="B43" t="s">
        <v>36</v>
      </c>
      <c r="C43" t="s">
        <v>79</v>
      </c>
      <c r="D43">
        <v>17</v>
      </c>
      <c r="E43">
        <v>8</v>
      </c>
      <c r="F43">
        <f t="shared" si="0"/>
        <v>0.47058823529411764</v>
      </c>
      <c r="H43" t="s">
        <v>21</v>
      </c>
      <c r="I43" t="s">
        <v>36</v>
      </c>
      <c r="J43" t="s">
        <v>81</v>
      </c>
      <c r="K43">
        <v>14</v>
      </c>
      <c r="L43">
        <v>1</v>
      </c>
      <c r="M43">
        <f t="shared" si="1"/>
        <v>7.1428571428571425E-2</v>
      </c>
      <c r="O43" t="s">
        <v>21</v>
      </c>
      <c r="P43" t="s">
        <v>36</v>
      </c>
      <c r="Q43" t="s">
        <v>83</v>
      </c>
      <c r="R43">
        <v>14</v>
      </c>
      <c r="S43">
        <v>6</v>
      </c>
      <c r="T43">
        <f t="shared" si="2"/>
        <v>0.42857142857142855</v>
      </c>
      <c r="V43" t="s">
        <v>21</v>
      </c>
      <c r="W43" t="s">
        <v>36</v>
      </c>
      <c r="X43" t="s">
        <v>84</v>
      </c>
      <c r="Y43">
        <v>14</v>
      </c>
      <c r="Z43">
        <v>2</v>
      </c>
      <c r="AA43">
        <f t="shared" si="3"/>
        <v>0.14285714285714285</v>
      </c>
      <c r="AC43" t="s">
        <v>21</v>
      </c>
      <c r="AD43" t="s">
        <v>36</v>
      </c>
      <c r="AE43" t="s">
        <v>85</v>
      </c>
      <c r="AF43">
        <v>14</v>
      </c>
      <c r="AG43">
        <v>4</v>
      </c>
      <c r="AH43">
        <f t="shared" si="4"/>
        <v>0.2857142857142857</v>
      </c>
      <c r="AK43" t="s">
        <v>40</v>
      </c>
      <c r="AL43" s="5">
        <v>0.39579999999999999</v>
      </c>
      <c r="AM43" s="5">
        <v>0.34289999999999998</v>
      </c>
      <c r="AN43" s="5">
        <v>0.3019</v>
      </c>
      <c r="AO43" s="5">
        <v>0.23530000000000001</v>
      </c>
      <c r="AP43" s="5">
        <v>0.23680000000000001</v>
      </c>
      <c r="AQ43" s="5">
        <v>0.39129999999999998</v>
      </c>
      <c r="AR43" s="5">
        <v>0.31430000000000002</v>
      </c>
      <c r="AS43" s="5">
        <f>SUMIFS(L$16:$L$71,$I$16:$I$71,AK43)/SUMIFS(K$16:$K$71,$I$16:$I$71,AK43)</f>
        <v>0.31845238095238093</v>
      </c>
      <c r="BU43" s="5"/>
    </row>
    <row r="44" spans="1:73" x14ac:dyDescent="0.25">
      <c r="A44" t="s">
        <v>0</v>
      </c>
      <c r="B44" t="s">
        <v>37</v>
      </c>
      <c r="C44" t="s">
        <v>79</v>
      </c>
      <c r="D44">
        <v>75</v>
      </c>
      <c r="E44">
        <v>39</v>
      </c>
      <c r="F44">
        <f t="shared" si="0"/>
        <v>0.52</v>
      </c>
      <c r="H44" t="s">
        <v>0</v>
      </c>
      <c r="I44" t="s">
        <v>37</v>
      </c>
      <c r="J44" t="s">
        <v>81</v>
      </c>
      <c r="K44">
        <v>62</v>
      </c>
      <c r="L44">
        <v>20</v>
      </c>
      <c r="M44">
        <f t="shared" si="1"/>
        <v>0.32258064516129031</v>
      </c>
      <c r="O44" t="s">
        <v>0</v>
      </c>
      <c r="P44" t="s">
        <v>37</v>
      </c>
      <c r="Q44" t="s">
        <v>83</v>
      </c>
      <c r="R44">
        <v>64</v>
      </c>
      <c r="S44">
        <v>39</v>
      </c>
      <c r="T44">
        <f t="shared" si="2"/>
        <v>0.609375</v>
      </c>
      <c r="V44" t="s">
        <v>0</v>
      </c>
      <c r="W44" t="s">
        <v>37</v>
      </c>
      <c r="X44" t="s">
        <v>84</v>
      </c>
      <c r="Y44">
        <v>62</v>
      </c>
      <c r="Z44">
        <v>19</v>
      </c>
      <c r="AA44">
        <f t="shared" si="3"/>
        <v>0.30645161290322581</v>
      </c>
      <c r="AC44" t="s">
        <v>0</v>
      </c>
      <c r="AD44" t="s">
        <v>37</v>
      </c>
      <c r="AE44" t="s">
        <v>85</v>
      </c>
      <c r="AF44">
        <v>61</v>
      </c>
      <c r="AG44">
        <v>13</v>
      </c>
      <c r="AH44">
        <f t="shared" si="4"/>
        <v>0.21311475409836064</v>
      </c>
      <c r="BU44" s="5"/>
    </row>
    <row r="45" spans="1:73" ht="15" customHeight="1" x14ac:dyDescent="0.25">
      <c r="A45" t="s">
        <v>1</v>
      </c>
      <c r="B45" t="s">
        <v>37</v>
      </c>
      <c r="C45" t="s">
        <v>79</v>
      </c>
      <c r="D45">
        <v>69</v>
      </c>
      <c r="E45">
        <v>31</v>
      </c>
      <c r="F45">
        <f t="shared" si="0"/>
        <v>0.44927536231884058</v>
      </c>
      <c r="H45" t="s">
        <v>1</v>
      </c>
      <c r="I45" t="s">
        <v>37</v>
      </c>
      <c r="J45" t="s">
        <v>81</v>
      </c>
      <c r="K45">
        <v>55</v>
      </c>
      <c r="L45">
        <v>16</v>
      </c>
      <c r="M45">
        <f t="shared" si="1"/>
        <v>0.29090909090909089</v>
      </c>
      <c r="O45" t="s">
        <v>1</v>
      </c>
      <c r="P45" t="s">
        <v>37</v>
      </c>
      <c r="Q45" t="s">
        <v>83</v>
      </c>
      <c r="R45">
        <v>56</v>
      </c>
      <c r="S45">
        <v>27</v>
      </c>
      <c r="T45">
        <f t="shared" si="2"/>
        <v>0.48214285714285715</v>
      </c>
      <c r="V45" t="s">
        <v>1</v>
      </c>
      <c r="W45" t="s">
        <v>37</v>
      </c>
      <c r="X45" t="s">
        <v>84</v>
      </c>
      <c r="Y45">
        <v>57</v>
      </c>
      <c r="Z45">
        <v>23</v>
      </c>
      <c r="AA45">
        <f t="shared" si="3"/>
        <v>0.40350877192982454</v>
      </c>
      <c r="AC45" t="s">
        <v>1</v>
      </c>
      <c r="AD45" t="s">
        <v>37</v>
      </c>
      <c r="AE45" t="s">
        <v>85</v>
      </c>
      <c r="AF45">
        <v>57</v>
      </c>
      <c r="AG45">
        <v>8</v>
      </c>
      <c r="AH45">
        <f t="shared" si="4"/>
        <v>0.14035087719298245</v>
      </c>
      <c r="AL45" t="s">
        <v>0</v>
      </c>
      <c r="AM45" t="s">
        <v>1</v>
      </c>
      <c r="AN45" s="2" t="s">
        <v>2</v>
      </c>
      <c r="AO45" t="s">
        <v>3</v>
      </c>
      <c r="AP45" t="s">
        <v>14</v>
      </c>
      <c r="AQ45" t="s">
        <v>18</v>
      </c>
      <c r="AR45" t="s">
        <v>21</v>
      </c>
      <c r="AS45" t="s">
        <v>29</v>
      </c>
      <c r="BU45" s="5"/>
    </row>
    <row r="46" spans="1:73" x14ac:dyDescent="0.25">
      <c r="A46" t="s">
        <v>2</v>
      </c>
      <c r="B46" t="s">
        <v>37</v>
      </c>
      <c r="C46" t="s">
        <v>79</v>
      </c>
      <c r="D46">
        <v>48</v>
      </c>
      <c r="E46">
        <v>15</v>
      </c>
      <c r="F46">
        <f t="shared" si="0"/>
        <v>0.3125</v>
      </c>
      <c r="H46" t="s">
        <v>2</v>
      </c>
      <c r="I46" t="s">
        <v>37</v>
      </c>
      <c r="J46" t="s">
        <v>81</v>
      </c>
      <c r="K46">
        <v>42</v>
      </c>
      <c r="L46">
        <v>12</v>
      </c>
      <c r="M46">
        <f t="shared" si="1"/>
        <v>0.2857142857142857</v>
      </c>
      <c r="O46" t="s">
        <v>2</v>
      </c>
      <c r="P46" t="s">
        <v>37</v>
      </c>
      <c r="Q46" t="s">
        <v>83</v>
      </c>
      <c r="R46">
        <v>43</v>
      </c>
      <c r="S46">
        <v>22</v>
      </c>
      <c r="T46">
        <f t="shared" si="2"/>
        <v>0.51162790697674421</v>
      </c>
      <c r="V46" t="s">
        <v>2</v>
      </c>
      <c r="W46" t="s">
        <v>37</v>
      </c>
      <c r="X46" t="s">
        <v>84</v>
      </c>
      <c r="Y46">
        <v>40</v>
      </c>
      <c r="Z46">
        <v>6</v>
      </c>
      <c r="AA46">
        <f t="shared" si="3"/>
        <v>0.15</v>
      </c>
      <c r="AC46" t="s">
        <v>2</v>
      </c>
      <c r="AD46" t="s">
        <v>37</v>
      </c>
      <c r="AE46" t="s">
        <v>85</v>
      </c>
      <c r="AF46">
        <v>39</v>
      </c>
      <c r="AG46">
        <v>14</v>
      </c>
      <c r="AH46">
        <f t="shared" si="4"/>
        <v>0.35897435897435898</v>
      </c>
      <c r="AK46" t="s">
        <v>27</v>
      </c>
      <c r="AL46">
        <v>473</v>
      </c>
      <c r="AM46">
        <v>410</v>
      </c>
      <c r="AN46">
        <v>361</v>
      </c>
      <c r="AO46">
        <v>379</v>
      </c>
      <c r="AP46">
        <v>286</v>
      </c>
      <c r="AQ46">
        <v>253</v>
      </c>
      <c r="AR46">
        <v>282</v>
      </c>
      <c r="AS46">
        <f>SUM(AL46:AR46)</f>
        <v>2444</v>
      </c>
      <c r="BU46" s="5"/>
    </row>
    <row r="47" spans="1:73" ht="15" customHeight="1" x14ac:dyDescent="0.25">
      <c r="A47" t="s">
        <v>3</v>
      </c>
      <c r="B47" t="s">
        <v>37</v>
      </c>
      <c r="C47" t="s">
        <v>79</v>
      </c>
      <c r="D47">
        <v>62</v>
      </c>
      <c r="E47">
        <v>26</v>
      </c>
      <c r="F47">
        <f t="shared" si="0"/>
        <v>0.41935483870967744</v>
      </c>
      <c r="H47" t="s">
        <v>3</v>
      </c>
      <c r="I47" t="s">
        <v>37</v>
      </c>
      <c r="J47" t="s">
        <v>81</v>
      </c>
      <c r="K47">
        <v>50</v>
      </c>
      <c r="L47">
        <v>18</v>
      </c>
      <c r="M47">
        <f t="shared" si="1"/>
        <v>0.36</v>
      </c>
      <c r="O47" t="s">
        <v>3</v>
      </c>
      <c r="P47" t="s">
        <v>37</v>
      </c>
      <c r="Q47" t="s">
        <v>83</v>
      </c>
      <c r="R47">
        <v>51</v>
      </c>
      <c r="S47">
        <v>27</v>
      </c>
      <c r="T47">
        <f t="shared" si="2"/>
        <v>0.52941176470588236</v>
      </c>
      <c r="V47" t="s">
        <v>3</v>
      </c>
      <c r="W47" t="s">
        <v>37</v>
      </c>
      <c r="X47" t="s">
        <v>84</v>
      </c>
      <c r="Y47">
        <v>50</v>
      </c>
      <c r="Z47">
        <v>16</v>
      </c>
      <c r="AA47">
        <f t="shared" si="3"/>
        <v>0.32</v>
      </c>
      <c r="AC47" t="s">
        <v>3</v>
      </c>
      <c r="AD47" t="s">
        <v>37</v>
      </c>
      <c r="AE47" t="s">
        <v>85</v>
      </c>
      <c r="AF47">
        <v>50</v>
      </c>
      <c r="AG47">
        <v>11</v>
      </c>
      <c r="AH47">
        <f t="shared" si="4"/>
        <v>0.22</v>
      </c>
      <c r="AK47" t="s">
        <v>95</v>
      </c>
      <c r="AL47">
        <v>155</v>
      </c>
      <c r="AM47">
        <v>110</v>
      </c>
      <c r="AN47">
        <v>108</v>
      </c>
      <c r="AO47">
        <v>90</v>
      </c>
      <c r="AP47">
        <v>80</v>
      </c>
      <c r="AQ47">
        <v>71</v>
      </c>
      <c r="AR47">
        <v>85</v>
      </c>
      <c r="AS47">
        <f>SUM(AL47:AR47)</f>
        <v>699</v>
      </c>
      <c r="AV47" s="22" t="s">
        <v>23</v>
      </c>
      <c r="AW47" s="23"/>
      <c r="AX47" s="23"/>
      <c r="AY47" s="23"/>
      <c r="BI47" s="22" t="s">
        <v>25</v>
      </c>
      <c r="BJ47" s="23"/>
      <c r="BK47" s="23"/>
      <c r="BL47" s="23"/>
      <c r="BU47" s="5"/>
    </row>
    <row r="48" spans="1:73" x14ac:dyDescent="0.25">
      <c r="A48" t="s">
        <v>14</v>
      </c>
      <c r="B48" t="s">
        <v>37</v>
      </c>
      <c r="C48" t="s">
        <v>79</v>
      </c>
      <c r="D48">
        <v>49</v>
      </c>
      <c r="E48">
        <v>19</v>
      </c>
      <c r="F48">
        <f t="shared" si="0"/>
        <v>0.38775510204081631</v>
      </c>
      <c r="H48" t="s">
        <v>14</v>
      </c>
      <c r="I48" t="s">
        <v>37</v>
      </c>
      <c r="J48" t="s">
        <v>81</v>
      </c>
      <c r="K48">
        <v>37</v>
      </c>
      <c r="L48">
        <v>11</v>
      </c>
      <c r="M48">
        <f t="shared" si="1"/>
        <v>0.29729729729729731</v>
      </c>
      <c r="O48" t="s">
        <v>14</v>
      </c>
      <c r="P48" t="s">
        <v>37</v>
      </c>
      <c r="Q48" t="s">
        <v>83</v>
      </c>
      <c r="R48">
        <v>38</v>
      </c>
      <c r="S48">
        <v>19</v>
      </c>
      <c r="T48">
        <f t="shared" si="2"/>
        <v>0.5</v>
      </c>
      <c r="V48" t="s">
        <v>14</v>
      </c>
      <c r="W48" t="s">
        <v>37</v>
      </c>
      <c r="X48" t="s">
        <v>84</v>
      </c>
      <c r="Y48">
        <v>40</v>
      </c>
      <c r="Z48">
        <v>12</v>
      </c>
      <c r="AA48">
        <f t="shared" si="3"/>
        <v>0.3</v>
      </c>
      <c r="AC48" t="s">
        <v>14</v>
      </c>
      <c r="AD48" t="s">
        <v>37</v>
      </c>
      <c r="AE48" t="s">
        <v>85</v>
      </c>
      <c r="AF48">
        <v>40</v>
      </c>
      <c r="AG48">
        <v>7</v>
      </c>
      <c r="AH48">
        <f t="shared" si="4"/>
        <v>0.17499999999999999</v>
      </c>
      <c r="AK48" s="1" t="s">
        <v>28</v>
      </c>
      <c r="AL48" s="5">
        <f>AL47/AL46</f>
        <v>0.32769556025369978</v>
      </c>
      <c r="AM48" s="5">
        <f t="shared" ref="AM48:AR48" si="7">AM47/AM46</f>
        <v>0.26829268292682928</v>
      </c>
      <c r="AN48" s="5">
        <f t="shared" si="7"/>
        <v>0.29916897506925205</v>
      </c>
      <c r="AO48" s="5">
        <f t="shared" si="7"/>
        <v>0.23746701846965698</v>
      </c>
      <c r="AP48" s="5">
        <f t="shared" si="7"/>
        <v>0.27972027972027974</v>
      </c>
      <c r="AQ48" s="5">
        <f t="shared" si="7"/>
        <v>0.28063241106719367</v>
      </c>
      <c r="AR48" s="5">
        <f t="shared" si="7"/>
        <v>0.30141843971631205</v>
      </c>
      <c r="AS48" s="5">
        <f t="shared" ref="AS48" si="8">AS47/AS46</f>
        <v>0.28600654664484454</v>
      </c>
      <c r="AV48" s="23"/>
      <c r="AW48" s="23"/>
      <c r="AX48" s="23"/>
      <c r="AY48" s="23"/>
      <c r="BI48" s="23"/>
      <c r="BJ48" s="23"/>
      <c r="BK48" s="23"/>
      <c r="BL48" s="23"/>
      <c r="BU48" s="5"/>
    </row>
    <row r="49" spans="1:73" x14ac:dyDescent="0.25">
      <c r="A49" t="s">
        <v>18</v>
      </c>
      <c r="B49" t="s">
        <v>37</v>
      </c>
      <c r="C49" t="s">
        <v>79</v>
      </c>
      <c r="D49">
        <v>48</v>
      </c>
      <c r="E49">
        <v>24</v>
      </c>
      <c r="F49">
        <f t="shared" si="0"/>
        <v>0.5</v>
      </c>
      <c r="H49" t="s">
        <v>18</v>
      </c>
      <c r="I49" t="s">
        <v>37</v>
      </c>
      <c r="J49" t="s">
        <v>81</v>
      </c>
      <c r="K49">
        <v>41</v>
      </c>
      <c r="L49">
        <v>16</v>
      </c>
      <c r="M49">
        <f t="shared" si="1"/>
        <v>0.3902439024390244</v>
      </c>
      <c r="O49" t="s">
        <v>18</v>
      </c>
      <c r="P49" t="s">
        <v>37</v>
      </c>
      <c r="Q49" t="s">
        <v>83</v>
      </c>
      <c r="R49">
        <v>39</v>
      </c>
      <c r="S49">
        <v>26</v>
      </c>
      <c r="T49">
        <f t="shared" si="2"/>
        <v>0.66666666666666663</v>
      </c>
      <c r="V49" t="s">
        <v>18</v>
      </c>
      <c r="W49" t="s">
        <v>37</v>
      </c>
      <c r="X49" t="s">
        <v>84</v>
      </c>
      <c r="Y49">
        <v>38</v>
      </c>
      <c r="Z49">
        <v>23</v>
      </c>
      <c r="AA49">
        <f t="shared" si="3"/>
        <v>0.60526315789473684</v>
      </c>
      <c r="AC49" t="s">
        <v>18</v>
      </c>
      <c r="AD49" t="s">
        <v>37</v>
      </c>
      <c r="AE49" t="s">
        <v>85</v>
      </c>
      <c r="AF49">
        <v>42</v>
      </c>
      <c r="AG49">
        <v>13</v>
      </c>
      <c r="AH49">
        <f t="shared" si="4"/>
        <v>0.30952380952380953</v>
      </c>
      <c r="BI49" s="6"/>
      <c r="BJ49" s="6"/>
      <c r="BK49" s="6"/>
      <c r="BL49" s="6"/>
      <c r="BU49" s="5"/>
    </row>
    <row r="50" spans="1:73" x14ac:dyDescent="0.25">
      <c r="A50" t="s">
        <v>21</v>
      </c>
      <c r="B50" t="s">
        <v>37</v>
      </c>
      <c r="C50" t="s">
        <v>79</v>
      </c>
      <c r="D50">
        <v>43</v>
      </c>
      <c r="E50">
        <v>15</v>
      </c>
      <c r="F50">
        <f t="shared" si="0"/>
        <v>0.34883720930232559</v>
      </c>
      <c r="H50" t="s">
        <v>21</v>
      </c>
      <c r="I50" t="s">
        <v>37</v>
      </c>
      <c r="J50" t="s">
        <v>81</v>
      </c>
      <c r="K50">
        <v>35</v>
      </c>
      <c r="L50">
        <v>8</v>
      </c>
      <c r="M50">
        <f t="shared" si="1"/>
        <v>0.22857142857142856</v>
      </c>
      <c r="O50" t="s">
        <v>21</v>
      </c>
      <c r="P50" t="s">
        <v>37</v>
      </c>
      <c r="Q50" t="s">
        <v>83</v>
      </c>
      <c r="R50">
        <v>34</v>
      </c>
      <c r="S50">
        <v>14</v>
      </c>
      <c r="T50">
        <f t="shared" si="2"/>
        <v>0.41176470588235292</v>
      </c>
      <c r="V50" t="s">
        <v>21</v>
      </c>
      <c r="W50" t="s">
        <v>37</v>
      </c>
      <c r="X50" t="s">
        <v>84</v>
      </c>
      <c r="Y50">
        <v>35</v>
      </c>
      <c r="Z50">
        <v>12</v>
      </c>
      <c r="AA50">
        <f t="shared" si="3"/>
        <v>0.34285714285714286</v>
      </c>
      <c r="AC50" t="s">
        <v>21</v>
      </c>
      <c r="AD50" t="s">
        <v>37</v>
      </c>
      <c r="AE50" t="s">
        <v>85</v>
      </c>
      <c r="AF50">
        <v>34</v>
      </c>
      <c r="AG50">
        <v>6</v>
      </c>
      <c r="AH50">
        <f t="shared" si="4"/>
        <v>0.17647058823529413</v>
      </c>
      <c r="AU50" s="6" t="s">
        <v>33</v>
      </c>
      <c r="AV50" t="s">
        <v>0</v>
      </c>
      <c r="AW50" t="s">
        <v>1</v>
      </c>
      <c r="AX50" s="2" t="s">
        <v>2</v>
      </c>
      <c r="AY50" t="s">
        <v>3</v>
      </c>
      <c r="AZ50" t="s">
        <v>14</v>
      </c>
      <c r="BA50" t="s">
        <v>18</v>
      </c>
      <c r="BB50" t="s">
        <v>21</v>
      </c>
      <c r="BU50" s="5"/>
    </row>
    <row r="51" spans="1:73" ht="15" customHeight="1" x14ac:dyDescent="0.25">
      <c r="A51" t="s">
        <v>0</v>
      </c>
      <c r="B51" t="s">
        <v>38</v>
      </c>
      <c r="C51" t="s">
        <v>79</v>
      </c>
      <c r="D51">
        <v>76</v>
      </c>
      <c r="E51">
        <v>45</v>
      </c>
      <c r="F51">
        <f t="shared" si="0"/>
        <v>0.59210526315789469</v>
      </c>
      <c r="H51" t="s">
        <v>0</v>
      </c>
      <c r="I51" t="s">
        <v>38</v>
      </c>
      <c r="J51" t="s">
        <v>81</v>
      </c>
      <c r="K51">
        <v>59</v>
      </c>
      <c r="L51">
        <v>21</v>
      </c>
      <c r="M51">
        <f t="shared" si="1"/>
        <v>0.3559322033898305</v>
      </c>
      <c r="O51" t="s">
        <v>0</v>
      </c>
      <c r="P51" t="s">
        <v>38</v>
      </c>
      <c r="Q51" t="s">
        <v>83</v>
      </c>
      <c r="R51">
        <v>61</v>
      </c>
      <c r="S51">
        <v>40</v>
      </c>
      <c r="T51">
        <f t="shared" si="2"/>
        <v>0.65573770491803274</v>
      </c>
      <c r="V51" t="s">
        <v>0</v>
      </c>
      <c r="W51" t="s">
        <v>38</v>
      </c>
      <c r="X51" t="s">
        <v>84</v>
      </c>
      <c r="Y51">
        <v>60</v>
      </c>
      <c r="Z51">
        <v>40</v>
      </c>
      <c r="AA51">
        <f t="shared" si="3"/>
        <v>0.66666666666666663</v>
      </c>
      <c r="AC51" t="s">
        <v>0</v>
      </c>
      <c r="AD51" t="s">
        <v>38</v>
      </c>
      <c r="AE51" t="s">
        <v>85</v>
      </c>
      <c r="AF51">
        <v>62</v>
      </c>
      <c r="AG51">
        <v>18</v>
      </c>
      <c r="AH51">
        <f t="shared" si="4"/>
        <v>0.29032258064516131</v>
      </c>
      <c r="AK51" s="22" t="s">
        <v>99</v>
      </c>
      <c r="AL51" s="22"/>
      <c r="AM51" s="22"/>
      <c r="AN51" s="22"/>
      <c r="AU51" t="s">
        <v>87</v>
      </c>
      <c r="AV51" s="5">
        <v>0.2923</v>
      </c>
      <c r="AW51" s="5">
        <v>0.2727</v>
      </c>
      <c r="AX51" s="5">
        <v>0.38779999999999998</v>
      </c>
      <c r="AY51" s="5">
        <v>0.17649999999999999</v>
      </c>
      <c r="AZ51" s="5">
        <v>0.23680000000000001</v>
      </c>
      <c r="BA51" s="5">
        <v>0.33329999999999999</v>
      </c>
      <c r="BB51" s="5">
        <v>0.60709999999999997</v>
      </c>
      <c r="BH51" t="s">
        <v>31</v>
      </c>
      <c r="BI51" t="s">
        <v>32</v>
      </c>
      <c r="BJ51" t="s">
        <v>33</v>
      </c>
      <c r="BK51" t="s">
        <v>34</v>
      </c>
      <c r="BL51" t="s">
        <v>35</v>
      </c>
      <c r="BM51" t="s">
        <v>36</v>
      </c>
      <c r="BN51" t="s">
        <v>37</v>
      </c>
      <c r="BO51" t="s">
        <v>38</v>
      </c>
      <c r="BP51" s="3" t="s">
        <v>39</v>
      </c>
      <c r="BQ51" t="s">
        <v>40</v>
      </c>
    </row>
    <row r="52" spans="1:73" x14ac:dyDescent="0.25">
      <c r="A52" t="s">
        <v>1</v>
      </c>
      <c r="B52" t="s">
        <v>38</v>
      </c>
      <c r="C52" t="s">
        <v>79</v>
      </c>
      <c r="D52">
        <v>62</v>
      </c>
      <c r="E52">
        <v>29</v>
      </c>
      <c r="F52">
        <f t="shared" si="0"/>
        <v>0.46774193548387094</v>
      </c>
      <c r="H52" t="s">
        <v>1</v>
      </c>
      <c r="I52" t="s">
        <v>38</v>
      </c>
      <c r="J52" t="s">
        <v>81</v>
      </c>
      <c r="K52">
        <v>48</v>
      </c>
      <c r="L52">
        <v>16</v>
      </c>
      <c r="M52">
        <f t="shared" si="1"/>
        <v>0.33333333333333331</v>
      </c>
      <c r="O52" t="s">
        <v>1</v>
      </c>
      <c r="P52" t="s">
        <v>38</v>
      </c>
      <c r="Q52" t="s">
        <v>83</v>
      </c>
      <c r="R52">
        <v>49</v>
      </c>
      <c r="S52">
        <v>24</v>
      </c>
      <c r="T52">
        <f t="shared" si="2"/>
        <v>0.48979591836734693</v>
      </c>
      <c r="V52" t="s">
        <v>1</v>
      </c>
      <c r="W52" t="s">
        <v>38</v>
      </c>
      <c r="X52" t="s">
        <v>84</v>
      </c>
      <c r="Y52">
        <v>47</v>
      </c>
      <c r="Z52">
        <v>32</v>
      </c>
      <c r="AA52">
        <f t="shared" si="3"/>
        <v>0.68085106382978722</v>
      </c>
      <c r="AC52" t="s">
        <v>1</v>
      </c>
      <c r="AD52" t="s">
        <v>38</v>
      </c>
      <c r="AE52" t="s">
        <v>85</v>
      </c>
      <c r="AF52">
        <v>48</v>
      </c>
      <c r="AG52">
        <v>10</v>
      </c>
      <c r="AH52">
        <f t="shared" si="4"/>
        <v>0.20833333333333334</v>
      </c>
      <c r="AK52" s="22"/>
      <c r="AL52" s="22"/>
      <c r="AM52" s="22"/>
      <c r="AN52" s="22"/>
      <c r="AU52" t="s">
        <v>88</v>
      </c>
      <c r="AV52" s="5">
        <v>0.18459999999999999</v>
      </c>
      <c r="AW52" s="5">
        <v>9.0899999999999995E-2</v>
      </c>
      <c r="AX52" s="5">
        <v>0.1837</v>
      </c>
      <c r="AY52" s="5">
        <v>0.17649999999999999</v>
      </c>
      <c r="AZ52" s="5">
        <v>0.23680000000000001</v>
      </c>
      <c r="BA52" s="5">
        <v>0.16669999999999999</v>
      </c>
      <c r="BB52" s="5">
        <v>0.28570000000000001</v>
      </c>
      <c r="BH52" t="s">
        <v>87</v>
      </c>
      <c r="BI52" s="5">
        <v>0.54591577879249109</v>
      </c>
      <c r="BJ52" s="5">
        <v>0.38461538461538464</v>
      </c>
      <c r="BK52" s="5">
        <v>0.56595744680851068</v>
      </c>
      <c r="BL52" s="5">
        <v>0.57541899441340782</v>
      </c>
      <c r="BM52" s="5">
        <v>0.59047619047619049</v>
      </c>
      <c r="BN52" s="5">
        <v>0.53696498054474706</v>
      </c>
      <c r="BO52" s="5">
        <v>0.56355932203389836</v>
      </c>
      <c r="BP52" s="5">
        <v>0.59748427672955973</v>
      </c>
      <c r="BQ52" s="5">
        <v>0.61654135338345861</v>
      </c>
    </row>
    <row r="53" spans="1:73" x14ac:dyDescent="0.25">
      <c r="A53" t="s">
        <v>2</v>
      </c>
      <c r="B53" t="s">
        <v>38</v>
      </c>
      <c r="C53" t="s">
        <v>79</v>
      </c>
      <c r="D53">
        <v>57</v>
      </c>
      <c r="E53">
        <v>24</v>
      </c>
      <c r="F53">
        <f t="shared" si="0"/>
        <v>0.42105263157894735</v>
      </c>
      <c r="H53" t="s">
        <v>2</v>
      </c>
      <c r="I53" t="s">
        <v>38</v>
      </c>
      <c r="J53" t="s">
        <v>81</v>
      </c>
      <c r="K53">
        <v>42</v>
      </c>
      <c r="L53">
        <v>12</v>
      </c>
      <c r="M53">
        <f t="shared" si="1"/>
        <v>0.2857142857142857</v>
      </c>
      <c r="O53" t="s">
        <v>2</v>
      </c>
      <c r="P53" t="s">
        <v>38</v>
      </c>
      <c r="Q53" t="s">
        <v>83</v>
      </c>
      <c r="R53">
        <v>46</v>
      </c>
      <c r="S53">
        <v>23</v>
      </c>
      <c r="T53">
        <f t="shared" si="2"/>
        <v>0.5</v>
      </c>
      <c r="V53" t="s">
        <v>2</v>
      </c>
      <c r="W53" t="s">
        <v>38</v>
      </c>
      <c r="X53" t="s">
        <v>84</v>
      </c>
      <c r="Y53">
        <v>43</v>
      </c>
      <c r="Z53">
        <v>28</v>
      </c>
      <c r="AA53">
        <f t="shared" si="3"/>
        <v>0.65116279069767447</v>
      </c>
      <c r="AC53" t="s">
        <v>2</v>
      </c>
      <c r="AD53" t="s">
        <v>38</v>
      </c>
      <c r="AE53" t="s">
        <v>85</v>
      </c>
      <c r="AF53">
        <v>44</v>
      </c>
      <c r="AG53">
        <v>10</v>
      </c>
      <c r="AH53">
        <f t="shared" si="4"/>
        <v>0.22727272727272727</v>
      </c>
      <c r="AN53" s="2"/>
      <c r="AU53" t="s">
        <v>89</v>
      </c>
      <c r="AV53" s="5">
        <v>0.41539999999999999</v>
      </c>
      <c r="AW53" s="5">
        <v>0.30909999999999999</v>
      </c>
      <c r="AX53" s="5">
        <v>0.40820000000000001</v>
      </c>
      <c r="AY53" s="5">
        <v>0.26469999999999999</v>
      </c>
      <c r="AZ53" s="5">
        <v>0.31580000000000003</v>
      </c>
      <c r="BA53" s="5">
        <v>0.43330000000000002</v>
      </c>
      <c r="BB53" s="5">
        <v>0.60709999999999997</v>
      </c>
      <c r="BH53" t="s">
        <v>88</v>
      </c>
      <c r="BI53" s="5">
        <v>0.46118721461187212</v>
      </c>
      <c r="BJ53" s="5">
        <v>0.31772575250836121</v>
      </c>
      <c r="BK53" s="5">
        <v>0.47872340425531917</v>
      </c>
      <c r="BL53" s="5">
        <v>0.48603351955307261</v>
      </c>
      <c r="BM53" s="5">
        <v>0.54285714285714282</v>
      </c>
      <c r="BN53" s="5">
        <v>0.42023346303501946</v>
      </c>
      <c r="BO53" s="5">
        <v>0.48728813559322032</v>
      </c>
      <c r="BP53" s="5">
        <v>0.50314465408805031</v>
      </c>
      <c r="BQ53" s="5">
        <v>0.53759398496240607</v>
      </c>
    </row>
    <row r="54" spans="1:73" ht="15" customHeight="1" x14ac:dyDescent="0.25">
      <c r="A54" t="s">
        <v>3</v>
      </c>
      <c r="B54" t="s">
        <v>38</v>
      </c>
      <c r="C54" t="s">
        <v>79</v>
      </c>
      <c r="D54">
        <v>68</v>
      </c>
      <c r="E54">
        <v>34</v>
      </c>
      <c r="F54">
        <f t="shared" si="0"/>
        <v>0.5</v>
      </c>
      <c r="H54" t="s">
        <v>3</v>
      </c>
      <c r="I54" t="s">
        <v>38</v>
      </c>
      <c r="J54" t="s">
        <v>81</v>
      </c>
      <c r="K54">
        <v>60</v>
      </c>
      <c r="L54">
        <v>14</v>
      </c>
      <c r="M54">
        <f t="shared" si="1"/>
        <v>0.23333333333333334</v>
      </c>
      <c r="O54" t="s">
        <v>3</v>
      </c>
      <c r="P54" t="s">
        <v>38</v>
      </c>
      <c r="Q54" t="s">
        <v>83</v>
      </c>
      <c r="R54">
        <v>56</v>
      </c>
      <c r="S54">
        <v>35</v>
      </c>
      <c r="T54">
        <f t="shared" si="2"/>
        <v>0.625</v>
      </c>
      <c r="V54" t="s">
        <v>3</v>
      </c>
      <c r="W54" t="s">
        <v>38</v>
      </c>
      <c r="X54" t="s">
        <v>84</v>
      </c>
      <c r="Y54">
        <v>57</v>
      </c>
      <c r="Z54">
        <v>37</v>
      </c>
      <c r="AA54">
        <f t="shared" si="3"/>
        <v>0.64912280701754388</v>
      </c>
      <c r="AC54" t="s">
        <v>3</v>
      </c>
      <c r="AD54" t="s">
        <v>38</v>
      </c>
      <c r="AE54" t="s">
        <v>85</v>
      </c>
      <c r="AF54">
        <v>56</v>
      </c>
      <c r="AG54">
        <v>6</v>
      </c>
      <c r="AH54">
        <f t="shared" si="4"/>
        <v>0.10714285714285714</v>
      </c>
      <c r="AL54" t="s">
        <v>0</v>
      </c>
      <c r="AM54" t="s">
        <v>1</v>
      </c>
      <c r="AN54" s="2" t="s">
        <v>2</v>
      </c>
      <c r="AO54" t="s">
        <v>3</v>
      </c>
      <c r="AP54" t="s">
        <v>14</v>
      </c>
      <c r="AQ54" t="s">
        <v>18</v>
      </c>
      <c r="AR54" t="s">
        <v>21</v>
      </c>
      <c r="AS54" t="s">
        <v>29</v>
      </c>
      <c r="BH54" t="s">
        <v>89</v>
      </c>
      <c r="BI54" s="5">
        <v>0.28006088280060881</v>
      </c>
      <c r="BJ54" s="5">
        <v>0.1806020066889632</v>
      </c>
      <c r="BK54" s="5">
        <v>0.27021276595744681</v>
      </c>
      <c r="BL54" s="5">
        <v>0.29050279329608941</v>
      </c>
      <c r="BM54" s="5">
        <v>0.30476190476190479</v>
      </c>
      <c r="BN54" s="5">
        <v>0.30739299610894943</v>
      </c>
      <c r="BO54" s="5">
        <v>0.32203389830508472</v>
      </c>
      <c r="BP54" s="5">
        <v>0.30188679245283018</v>
      </c>
      <c r="BQ54" s="5">
        <v>0.31578947368421051</v>
      </c>
    </row>
    <row r="55" spans="1:73" x14ac:dyDescent="0.25">
      <c r="A55" t="s">
        <v>14</v>
      </c>
      <c r="B55" t="s">
        <v>38</v>
      </c>
      <c r="C55" t="s">
        <v>79</v>
      </c>
      <c r="D55">
        <v>38</v>
      </c>
      <c r="E55">
        <v>18</v>
      </c>
      <c r="F55">
        <f t="shared" si="0"/>
        <v>0.47368421052631576</v>
      </c>
      <c r="H55" t="s">
        <v>14</v>
      </c>
      <c r="I55" t="s">
        <v>38</v>
      </c>
      <c r="J55" t="s">
        <v>81</v>
      </c>
      <c r="K55">
        <v>33</v>
      </c>
      <c r="L55">
        <v>13</v>
      </c>
      <c r="M55">
        <f t="shared" si="1"/>
        <v>0.39393939393939392</v>
      </c>
      <c r="O55" t="s">
        <v>14</v>
      </c>
      <c r="P55" t="s">
        <v>38</v>
      </c>
      <c r="Q55" t="s">
        <v>83</v>
      </c>
      <c r="R55">
        <v>31</v>
      </c>
      <c r="S55">
        <v>18</v>
      </c>
      <c r="T55">
        <f t="shared" si="2"/>
        <v>0.58064516129032262</v>
      </c>
      <c r="V55" t="s">
        <v>14</v>
      </c>
      <c r="W55" t="s">
        <v>38</v>
      </c>
      <c r="X55" t="s">
        <v>84</v>
      </c>
      <c r="Y55">
        <v>33</v>
      </c>
      <c r="Z55">
        <v>18</v>
      </c>
      <c r="AA55">
        <f t="shared" si="3"/>
        <v>0.54545454545454541</v>
      </c>
      <c r="AC55" t="s">
        <v>14</v>
      </c>
      <c r="AD55" t="s">
        <v>38</v>
      </c>
      <c r="AE55" t="s">
        <v>85</v>
      </c>
      <c r="AF55">
        <v>32</v>
      </c>
      <c r="AG55">
        <v>4</v>
      </c>
      <c r="AH55">
        <f t="shared" si="4"/>
        <v>0.125</v>
      </c>
      <c r="AK55" t="s">
        <v>33</v>
      </c>
      <c r="AL55" s="5">
        <v>0.41539999999999999</v>
      </c>
      <c r="AM55" s="5">
        <v>0.30909999999999999</v>
      </c>
      <c r="AN55" s="5">
        <v>0.40820000000000001</v>
      </c>
      <c r="AO55" s="5">
        <v>0.26469999999999999</v>
      </c>
      <c r="AP55" s="5">
        <v>0.31580000000000003</v>
      </c>
      <c r="AQ55" s="5">
        <v>0.43330000000000002</v>
      </c>
      <c r="AR55" s="5">
        <v>0.60709999999999997</v>
      </c>
      <c r="AS55" s="5">
        <f>SUMIFS(S$16:$S$71,$P$16:$P$71,AK55)/SUMIFS(R$16:$R$71,$P$16:$P$71,AK55)</f>
        <v>0.38421052631578945</v>
      </c>
      <c r="BH55" t="s">
        <v>90</v>
      </c>
      <c r="BI55" s="5">
        <v>0.54591577879249109</v>
      </c>
      <c r="BJ55" s="5">
        <v>0.54591577879249109</v>
      </c>
      <c r="BK55" s="5">
        <v>0.54591577879249109</v>
      </c>
      <c r="BL55" s="5">
        <v>0.54591577879249109</v>
      </c>
      <c r="BM55" s="5">
        <v>0.54591577879249109</v>
      </c>
      <c r="BN55" s="5">
        <v>0.54591577879249109</v>
      </c>
      <c r="BO55" s="5">
        <v>0.54591577879249109</v>
      </c>
      <c r="BP55" s="5">
        <v>0.54591577879249109</v>
      </c>
      <c r="BQ55" s="5">
        <v>0.54591577879249109</v>
      </c>
    </row>
    <row r="56" spans="1:73" x14ac:dyDescent="0.25">
      <c r="A56" t="s">
        <v>18</v>
      </c>
      <c r="B56" t="s">
        <v>38</v>
      </c>
      <c r="C56" t="s">
        <v>79</v>
      </c>
      <c r="D56">
        <v>28</v>
      </c>
      <c r="E56">
        <v>16</v>
      </c>
      <c r="F56">
        <f t="shared" si="0"/>
        <v>0.5714285714285714</v>
      </c>
      <c r="H56" t="s">
        <v>18</v>
      </c>
      <c r="I56" t="s">
        <v>38</v>
      </c>
      <c r="J56" t="s">
        <v>81</v>
      </c>
      <c r="K56">
        <v>23</v>
      </c>
      <c r="L56">
        <v>8</v>
      </c>
      <c r="M56">
        <f t="shared" si="1"/>
        <v>0.34782608695652173</v>
      </c>
      <c r="O56" t="s">
        <v>18</v>
      </c>
      <c r="P56" t="s">
        <v>38</v>
      </c>
      <c r="Q56" t="s">
        <v>83</v>
      </c>
      <c r="R56">
        <v>22</v>
      </c>
      <c r="S56">
        <v>13</v>
      </c>
      <c r="T56">
        <f t="shared" si="2"/>
        <v>0.59090909090909094</v>
      </c>
      <c r="V56" t="s">
        <v>18</v>
      </c>
      <c r="W56" t="s">
        <v>38</v>
      </c>
      <c r="X56" t="s">
        <v>84</v>
      </c>
      <c r="Y56">
        <v>22</v>
      </c>
      <c r="Z56">
        <v>13</v>
      </c>
      <c r="AA56">
        <f t="shared" si="3"/>
        <v>0.59090909090909094</v>
      </c>
      <c r="AC56" t="s">
        <v>18</v>
      </c>
      <c r="AD56" t="s">
        <v>38</v>
      </c>
      <c r="AE56" t="s">
        <v>85</v>
      </c>
      <c r="AF56">
        <v>22</v>
      </c>
      <c r="AG56">
        <v>4</v>
      </c>
      <c r="AH56">
        <f t="shared" si="4"/>
        <v>0.18181818181818182</v>
      </c>
      <c r="AK56" t="s">
        <v>34</v>
      </c>
      <c r="AL56" s="5">
        <v>0.74029999999999996</v>
      </c>
      <c r="AM56" s="5">
        <v>0.51849999999999996</v>
      </c>
      <c r="AN56" s="5">
        <v>0.5645</v>
      </c>
      <c r="AO56" s="5">
        <v>0.54220000000000002</v>
      </c>
      <c r="AP56" s="5">
        <v>0.49020000000000002</v>
      </c>
      <c r="AQ56" s="5">
        <v>0.43330000000000002</v>
      </c>
      <c r="AR56" s="5">
        <v>0.64290000000000003</v>
      </c>
      <c r="AS56" s="5">
        <f>SUMIFS(S$16:$S$71,$P$16:$P$71,AK56)/SUMIFS(R$16:$R$71,$P$16:$P$71,AK56)</f>
        <v>0.56164383561643838</v>
      </c>
      <c r="BH56" t="s">
        <v>91</v>
      </c>
      <c r="BI56" s="5">
        <v>0.46118721461187212</v>
      </c>
      <c r="BJ56" s="5">
        <v>0.46118721461187212</v>
      </c>
      <c r="BK56" s="5">
        <v>0.46118721461187212</v>
      </c>
      <c r="BL56" s="5">
        <v>0.46118721461187212</v>
      </c>
      <c r="BM56" s="5">
        <v>0.46118721461187212</v>
      </c>
      <c r="BN56" s="5">
        <v>0.46118721461187212</v>
      </c>
      <c r="BO56" s="5">
        <v>0.46118721461187212</v>
      </c>
      <c r="BP56" s="5">
        <v>0.46118721461187212</v>
      </c>
      <c r="BQ56" s="5">
        <v>0.46118721461187212</v>
      </c>
    </row>
    <row r="57" spans="1:73" x14ac:dyDescent="0.25">
      <c r="A57" t="s">
        <v>21</v>
      </c>
      <c r="B57" t="s">
        <v>38</v>
      </c>
      <c r="C57" t="s">
        <v>79</v>
      </c>
      <c r="D57">
        <v>40</v>
      </c>
      <c r="E57">
        <v>17</v>
      </c>
      <c r="F57">
        <f t="shared" si="0"/>
        <v>0.42499999999999999</v>
      </c>
      <c r="H57" t="s">
        <v>21</v>
      </c>
      <c r="I57" t="s">
        <v>38</v>
      </c>
      <c r="J57" t="s">
        <v>81</v>
      </c>
      <c r="K57">
        <v>29</v>
      </c>
      <c r="L57">
        <v>10</v>
      </c>
      <c r="M57">
        <f t="shared" si="1"/>
        <v>0.34482758620689657</v>
      </c>
      <c r="O57" t="s">
        <v>21</v>
      </c>
      <c r="P57" t="s">
        <v>38</v>
      </c>
      <c r="Q57" t="s">
        <v>83</v>
      </c>
      <c r="R57">
        <v>29</v>
      </c>
      <c r="S57">
        <v>15</v>
      </c>
      <c r="T57">
        <f t="shared" si="2"/>
        <v>0.51724137931034486</v>
      </c>
      <c r="V57" t="s">
        <v>21</v>
      </c>
      <c r="W57" t="s">
        <v>38</v>
      </c>
      <c r="X57" t="s">
        <v>84</v>
      </c>
      <c r="Y57">
        <v>31</v>
      </c>
      <c r="Z57">
        <v>17</v>
      </c>
      <c r="AA57">
        <f t="shared" si="3"/>
        <v>0.54838709677419351</v>
      </c>
      <c r="AC57" t="s">
        <v>21</v>
      </c>
      <c r="AD57" t="s">
        <v>38</v>
      </c>
      <c r="AE57" t="s">
        <v>85</v>
      </c>
      <c r="AF57">
        <v>29</v>
      </c>
      <c r="AG57">
        <v>3</v>
      </c>
      <c r="AH57">
        <f t="shared" si="4"/>
        <v>0.10344827586206896</v>
      </c>
      <c r="AK57" t="s">
        <v>35</v>
      </c>
      <c r="AL57" s="5">
        <v>0.65</v>
      </c>
      <c r="AM57" s="5">
        <v>0.59379999999999999</v>
      </c>
      <c r="AN57" s="5">
        <v>0.53569999999999995</v>
      </c>
      <c r="AO57" s="5">
        <v>0.4118</v>
      </c>
      <c r="AP57" s="5">
        <v>0.63160000000000005</v>
      </c>
      <c r="AQ57" s="5">
        <v>0.57140000000000002</v>
      </c>
      <c r="AR57" s="5">
        <v>0.54549999999999998</v>
      </c>
      <c r="AS57" s="5">
        <f>SUMIFS(S$16:$S$71,$P$16:$P$71,AK57)/SUMIFS(R$16:$R$71,$P$16:$P$71,AK57)</f>
        <v>0.57657657657657657</v>
      </c>
      <c r="BH57" t="s">
        <v>92</v>
      </c>
      <c r="BI57" s="5">
        <v>0.28006088280060881</v>
      </c>
      <c r="BJ57" s="5">
        <v>0.28006088280060881</v>
      </c>
      <c r="BK57" s="5">
        <v>0.28006088280060881</v>
      </c>
      <c r="BL57" s="5">
        <v>0.28006088280060881</v>
      </c>
      <c r="BM57" s="5">
        <v>0.28006088280060881</v>
      </c>
      <c r="BN57" s="5">
        <v>0.28006088280060881</v>
      </c>
      <c r="BO57" s="5">
        <v>0.28006088280060881</v>
      </c>
      <c r="BP57" s="5">
        <v>0.28006088280060881</v>
      </c>
      <c r="BQ57" s="5">
        <v>0.28006088280060881</v>
      </c>
    </row>
    <row r="58" spans="1:73" x14ac:dyDescent="0.25">
      <c r="A58" t="s">
        <v>0</v>
      </c>
      <c r="B58" t="s">
        <v>39</v>
      </c>
      <c r="C58" t="s">
        <v>79</v>
      </c>
      <c r="D58">
        <v>26</v>
      </c>
      <c r="E58">
        <v>14</v>
      </c>
      <c r="F58">
        <f t="shared" si="0"/>
        <v>0.53846153846153844</v>
      </c>
      <c r="H58" t="s">
        <v>0</v>
      </c>
      <c r="I58" t="s">
        <v>39</v>
      </c>
      <c r="J58" t="s">
        <v>81</v>
      </c>
      <c r="K58">
        <v>21</v>
      </c>
      <c r="L58">
        <v>7</v>
      </c>
      <c r="M58">
        <f t="shared" si="1"/>
        <v>0.33333333333333331</v>
      </c>
      <c r="O58" t="s">
        <v>0</v>
      </c>
      <c r="P58" t="s">
        <v>39</v>
      </c>
      <c r="Q58" t="s">
        <v>83</v>
      </c>
      <c r="R58">
        <v>21</v>
      </c>
      <c r="S58">
        <v>15</v>
      </c>
      <c r="T58">
        <f t="shared" si="2"/>
        <v>0.7142857142857143</v>
      </c>
      <c r="V58" t="s">
        <v>0</v>
      </c>
      <c r="W58" t="s">
        <v>39</v>
      </c>
      <c r="X58" t="s">
        <v>84</v>
      </c>
      <c r="Y58">
        <v>20</v>
      </c>
      <c r="Z58">
        <v>17</v>
      </c>
      <c r="AA58">
        <f t="shared" si="3"/>
        <v>0.85</v>
      </c>
      <c r="AC58" t="s">
        <v>0</v>
      </c>
      <c r="AD58" t="s">
        <v>39</v>
      </c>
      <c r="AE58" t="s">
        <v>85</v>
      </c>
      <c r="AF58">
        <v>21</v>
      </c>
      <c r="AG58">
        <v>5</v>
      </c>
      <c r="AH58">
        <f t="shared" si="4"/>
        <v>0.23809523809523808</v>
      </c>
      <c r="AK58" t="s">
        <v>36</v>
      </c>
      <c r="AL58" s="5">
        <v>0.54549999999999998</v>
      </c>
      <c r="AM58" s="5">
        <v>0.6</v>
      </c>
      <c r="AN58" s="5">
        <v>0.59089999999999998</v>
      </c>
      <c r="AO58" s="5">
        <v>0.66669999999999996</v>
      </c>
      <c r="AP58" s="5">
        <v>0.75</v>
      </c>
      <c r="AQ58" s="5">
        <v>0.5</v>
      </c>
      <c r="AR58" s="5">
        <v>0.45450000000000002</v>
      </c>
      <c r="AS58" s="5">
        <f>SUMIFS(S$16:$S$71,$P$16:$P$71,AK58)/SUMIFS(R$16:$R$71,$P$16:$P$71,AK58)</f>
        <v>0.56716417910447758</v>
      </c>
    </row>
    <row r="59" spans="1:73" x14ac:dyDescent="0.25">
      <c r="A59" t="s">
        <v>1</v>
      </c>
      <c r="B59" t="s">
        <v>39</v>
      </c>
      <c r="C59" t="s">
        <v>79</v>
      </c>
      <c r="D59">
        <v>47</v>
      </c>
      <c r="E59">
        <v>20</v>
      </c>
      <c r="F59">
        <f t="shared" si="0"/>
        <v>0.42553191489361702</v>
      </c>
      <c r="H59" t="s">
        <v>1</v>
      </c>
      <c r="I59" t="s">
        <v>39</v>
      </c>
      <c r="J59" t="s">
        <v>81</v>
      </c>
      <c r="K59">
        <v>37</v>
      </c>
      <c r="L59">
        <v>7</v>
      </c>
      <c r="M59">
        <f t="shared" si="1"/>
        <v>0.1891891891891892</v>
      </c>
      <c r="O59" t="s">
        <v>1</v>
      </c>
      <c r="P59" t="s">
        <v>39</v>
      </c>
      <c r="Q59" t="s">
        <v>83</v>
      </c>
      <c r="R59">
        <v>36</v>
      </c>
      <c r="S59">
        <v>19</v>
      </c>
      <c r="T59">
        <f t="shared" si="2"/>
        <v>0.52777777777777779</v>
      </c>
      <c r="V59" t="s">
        <v>1</v>
      </c>
      <c r="W59" t="s">
        <v>39</v>
      </c>
      <c r="X59" t="s">
        <v>84</v>
      </c>
      <c r="Y59">
        <v>36</v>
      </c>
      <c r="Z59">
        <v>28</v>
      </c>
      <c r="AA59">
        <f t="shared" si="3"/>
        <v>0.77777777777777779</v>
      </c>
      <c r="AC59" t="s">
        <v>1</v>
      </c>
      <c r="AD59" t="s">
        <v>39</v>
      </c>
      <c r="AE59" t="s">
        <v>85</v>
      </c>
      <c r="AF59">
        <v>37</v>
      </c>
      <c r="AG59">
        <v>4</v>
      </c>
      <c r="AH59">
        <f t="shared" si="4"/>
        <v>0.10810810810810811</v>
      </c>
      <c r="AK59" t="s">
        <v>37</v>
      </c>
      <c r="AL59" s="5">
        <v>0.61219999999999997</v>
      </c>
      <c r="AM59" s="5">
        <v>0.4889</v>
      </c>
      <c r="AN59" s="5">
        <v>0.54549999999999998</v>
      </c>
      <c r="AO59" s="5">
        <v>0.52500000000000002</v>
      </c>
      <c r="AP59" s="5">
        <v>0.4839</v>
      </c>
      <c r="AQ59" s="5">
        <v>0.65629999999999999</v>
      </c>
      <c r="AR59" s="5">
        <v>0.40739999999999998</v>
      </c>
      <c r="AS59" s="5">
        <f>SUMIFS(S$16:$S$71,$P$16:$P$71,AK59)/SUMIFS(R$16:$R$71,$P$16:$P$71,AK59)</f>
        <v>0.53538461538461535</v>
      </c>
    </row>
    <row r="60" spans="1:73" x14ac:dyDescent="0.25">
      <c r="A60" t="s">
        <v>2</v>
      </c>
      <c r="B60" t="s">
        <v>39</v>
      </c>
      <c r="C60" t="s">
        <v>79</v>
      </c>
      <c r="D60">
        <v>30</v>
      </c>
      <c r="E60">
        <v>14</v>
      </c>
      <c r="F60">
        <f t="shared" si="0"/>
        <v>0.46666666666666667</v>
      </c>
      <c r="H60" t="s">
        <v>2</v>
      </c>
      <c r="I60" t="s">
        <v>39</v>
      </c>
      <c r="J60" t="s">
        <v>81</v>
      </c>
      <c r="K60">
        <v>25</v>
      </c>
      <c r="L60">
        <v>2</v>
      </c>
      <c r="M60">
        <f t="shared" si="1"/>
        <v>0.08</v>
      </c>
      <c r="O60" t="s">
        <v>2</v>
      </c>
      <c r="P60" t="s">
        <v>39</v>
      </c>
      <c r="Q60" t="s">
        <v>83</v>
      </c>
      <c r="R60">
        <v>24</v>
      </c>
      <c r="S60">
        <v>10</v>
      </c>
      <c r="T60">
        <f t="shared" si="2"/>
        <v>0.41666666666666669</v>
      </c>
      <c r="V60" t="s">
        <v>2</v>
      </c>
      <c r="W60" t="s">
        <v>39</v>
      </c>
      <c r="X60" t="s">
        <v>84</v>
      </c>
      <c r="Y60">
        <v>23</v>
      </c>
      <c r="Z60">
        <v>21</v>
      </c>
      <c r="AA60">
        <f t="shared" si="3"/>
        <v>0.91304347826086951</v>
      </c>
      <c r="AC60" t="s">
        <v>2</v>
      </c>
      <c r="AD60" t="s">
        <v>39</v>
      </c>
      <c r="AE60" t="s">
        <v>85</v>
      </c>
      <c r="AF60">
        <v>24</v>
      </c>
      <c r="AG60">
        <v>1</v>
      </c>
      <c r="AH60">
        <f t="shared" si="4"/>
        <v>4.1666666666666664E-2</v>
      </c>
      <c r="AK60" t="s">
        <v>38</v>
      </c>
      <c r="AL60" s="5">
        <v>0.70589999999999997</v>
      </c>
      <c r="AM60" s="5">
        <v>0.55169999999999997</v>
      </c>
      <c r="AN60" s="5">
        <v>0.42109999999999997</v>
      </c>
      <c r="AO60" s="5">
        <v>0.6</v>
      </c>
      <c r="AP60" s="5">
        <v>0.57140000000000002</v>
      </c>
      <c r="AQ60" s="5">
        <v>0.61899999999999999</v>
      </c>
      <c r="AR60" s="5">
        <v>0.70369999999999999</v>
      </c>
      <c r="AS60" s="5">
        <f>SUMIFS(S$16:$S$71,$P$16:$P$71,AK60)/SUMIFS(R$16:$R$71,$P$16:$P$71,AK60)</f>
        <v>0.5714285714285714</v>
      </c>
    </row>
    <row r="61" spans="1:73" x14ac:dyDescent="0.25">
      <c r="A61" t="s">
        <v>3</v>
      </c>
      <c r="B61" t="s">
        <v>39</v>
      </c>
      <c r="C61" t="s">
        <v>79</v>
      </c>
      <c r="D61">
        <v>41</v>
      </c>
      <c r="E61">
        <v>19</v>
      </c>
      <c r="F61">
        <f t="shared" si="0"/>
        <v>0.46341463414634149</v>
      </c>
      <c r="H61" t="s">
        <v>3</v>
      </c>
      <c r="I61" t="s">
        <v>39</v>
      </c>
      <c r="J61" t="s">
        <v>81</v>
      </c>
      <c r="K61">
        <v>32</v>
      </c>
      <c r="L61">
        <v>10</v>
      </c>
      <c r="M61">
        <f t="shared" si="1"/>
        <v>0.3125</v>
      </c>
      <c r="O61" t="s">
        <v>3</v>
      </c>
      <c r="P61" t="s">
        <v>39</v>
      </c>
      <c r="Q61" t="s">
        <v>83</v>
      </c>
      <c r="R61">
        <v>30</v>
      </c>
      <c r="S61">
        <v>19</v>
      </c>
      <c r="T61">
        <f t="shared" si="2"/>
        <v>0.6333333333333333</v>
      </c>
      <c r="V61" t="s">
        <v>3</v>
      </c>
      <c r="W61" t="s">
        <v>39</v>
      </c>
      <c r="X61" t="s">
        <v>84</v>
      </c>
      <c r="Y61">
        <v>32</v>
      </c>
      <c r="Z61">
        <v>30</v>
      </c>
      <c r="AA61">
        <f t="shared" si="3"/>
        <v>0.9375</v>
      </c>
      <c r="AC61" t="s">
        <v>3</v>
      </c>
      <c r="AD61" t="s">
        <v>39</v>
      </c>
      <c r="AE61" t="s">
        <v>85</v>
      </c>
      <c r="AF61">
        <v>31</v>
      </c>
      <c r="AG61">
        <v>5</v>
      </c>
      <c r="AH61">
        <f t="shared" si="4"/>
        <v>0.16129032258064516</v>
      </c>
      <c r="AK61" s="3" t="s">
        <v>39</v>
      </c>
      <c r="AL61" s="5">
        <v>0.70589999999999997</v>
      </c>
      <c r="AM61" s="5">
        <v>0.55169999999999997</v>
      </c>
      <c r="AN61" s="5">
        <v>0.42109999999999997</v>
      </c>
      <c r="AO61" s="5">
        <v>0.6</v>
      </c>
      <c r="AP61" s="5">
        <v>0.57140000000000002</v>
      </c>
      <c r="AQ61" s="5">
        <v>0.61899999999999999</v>
      </c>
      <c r="AR61" s="5">
        <v>0.70369999999999999</v>
      </c>
      <c r="AS61" s="5">
        <f>SUMIFS(S$16:$S$71,$P$16:$P$71,AK61)/SUMIFS(R$16:$R$71,$P$16:$P$71,AK61)</f>
        <v>0.58499999999999996</v>
      </c>
    </row>
    <row r="62" spans="1:73" x14ac:dyDescent="0.25">
      <c r="A62" t="s">
        <v>14</v>
      </c>
      <c r="B62" t="s">
        <v>39</v>
      </c>
      <c r="C62" t="s">
        <v>79</v>
      </c>
      <c r="D62">
        <v>33</v>
      </c>
      <c r="E62">
        <v>15</v>
      </c>
      <c r="F62">
        <f t="shared" si="0"/>
        <v>0.45454545454545453</v>
      </c>
      <c r="H62" t="s">
        <v>14</v>
      </c>
      <c r="I62" t="s">
        <v>39</v>
      </c>
      <c r="J62" t="s">
        <v>81</v>
      </c>
      <c r="K62">
        <v>26</v>
      </c>
      <c r="L62">
        <v>9</v>
      </c>
      <c r="M62">
        <f t="shared" si="1"/>
        <v>0.34615384615384615</v>
      </c>
      <c r="O62" t="s">
        <v>14</v>
      </c>
      <c r="P62" t="s">
        <v>39</v>
      </c>
      <c r="Q62" t="s">
        <v>83</v>
      </c>
      <c r="R62">
        <v>26</v>
      </c>
      <c r="S62">
        <v>15</v>
      </c>
      <c r="T62">
        <f t="shared" si="2"/>
        <v>0.57692307692307687</v>
      </c>
      <c r="V62" t="s">
        <v>14</v>
      </c>
      <c r="W62" t="s">
        <v>39</v>
      </c>
      <c r="X62" t="s">
        <v>84</v>
      </c>
      <c r="Y62">
        <v>27</v>
      </c>
      <c r="Z62">
        <v>23</v>
      </c>
      <c r="AA62">
        <f t="shared" si="3"/>
        <v>0.85185185185185186</v>
      </c>
      <c r="AC62" t="s">
        <v>14</v>
      </c>
      <c r="AD62" t="s">
        <v>39</v>
      </c>
      <c r="AE62" t="s">
        <v>85</v>
      </c>
      <c r="AF62">
        <v>26</v>
      </c>
      <c r="AG62">
        <v>4</v>
      </c>
      <c r="AH62">
        <f t="shared" si="4"/>
        <v>0.15384615384615385</v>
      </c>
      <c r="AK62" t="s">
        <v>40</v>
      </c>
      <c r="AL62" s="5">
        <v>0.70830000000000004</v>
      </c>
      <c r="AM62" s="5">
        <v>0.6</v>
      </c>
      <c r="AN62" s="5">
        <v>0.54720000000000002</v>
      </c>
      <c r="AO62" s="5">
        <v>0.52939999999999998</v>
      </c>
      <c r="AP62" s="5">
        <v>0.60529999999999995</v>
      </c>
      <c r="AQ62" s="5">
        <v>0.6522</v>
      </c>
      <c r="AR62" s="5">
        <v>0.68569999999999998</v>
      </c>
      <c r="AS62" s="5">
        <f>SUMIFS(S$16:$S$71,$P$16:$P$71,AK62)/SUMIFS(R$16:$R$71,$P$16:$P$71,AK62)</f>
        <v>0.63525835866261393</v>
      </c>
    </row>
    <row r="63" spans="1:73" x14ac:dyDescent="0.25">
      <c r="A63" t="s">
        <v>18</v>
      </c>
      <c r="B63" t="s">
        <v>39</v>
      </c>
      <c r="C63" t="s">
        <v>79</v>
      </c>
      <c r="D63">
        <v>32</v>
      </c>
      <c r="E63">
        <v>16</v>
      </c>
      <c r="F63">
        <f t="shared" si="0"/>
        <v>0.5</v>
      </c>
      <c r="H63" t="s">
        <v>18</v>
      </c>
      <c r="I63" t="s">
        <v>39</v>
      </c>
      <c r="J63" t="s">
        <v>81</v>
      </c>
      <c r="K63">
        <v>25</v>
      </c>
      <c r="L63">
        <v>10</v>
      </c>
      <c r="M63">
        <f t="shared" si="1"/>
        <v>0.4</v>
      </c>
      <c r="O63" t="s">
        <v>18</v>
      </c>
      <c r="P63" t="s">
        <v>39</v>
      </c>
      <c r="Q63" t="s">
        <v>83</v>
      </c>
      <c r="R63">
        <v>28</v>
      </c>
      <c r="S63">
        <v>16</v>
      </c>
      <c r="T63">
        <f t="shared" si="2"/>
        <v>0.5714285714285714</v>
      </c>
      <c r="V63" t="s">
        <v>18</v>
      </c>
      <c r="W63" t="s">
        <v>39</v>
      </c>
      <c r="X63" t="s">
        <v>84</v>
      </c>
      <c r="Y63">
        <v>25</v>
      </c>
      <c r="Z63">
        <v>23</v>
      </c>
      <c r="AA63">
        <f t="shared" si="3"/>
        <v>0.92</v>
      </c>
      <c r="AC63" t="s">
        <v>18</v>
      </c>
      <c r="AD63" t="s">
        <v>39</v>
      </c>
      <c r="AE63" t="s">
        <v>85</v>
      </c>
      <c r="AF63">
        <v>26</v>
      </c>
      <c r="AG63">
        <v>4</v>
      </c>
      <c r="AH63">
        <f t="shared" si="4"/>
        <v>0.15384615384615385</v>
      </c>
    </row>
    <row r="64" spans="1:73" x14ac:dyDescent="0.25">
      <c r="A64" t="s">
        <v>21</v>
      </c>
      <c r="B64" t="s">
        <v>39</v>
      </c>
      <c r="C64" t="s">
        <v>79</v>
      </c>
      <c r="D64">
        <v>43</v>
      </c>
      <c r="E64">
        <v>25</v>
      </c>
      <c r="F64">
        <f t="shared" si="0"/>
        <v>0.58139534883720934</v>
      </c>
      <c r="H64" t="s">
        <v>21</v>
      </c>
      <c r="I64" t="s">
        <v>39</v>
      </c>
      <c r="J64" t="s">
        <v>81</v>
      </c>
      <c r="K64">
        <v>34</v>
      </c>
      <c r="L64">
        <v>15</v>
      </c>
      <c r="M64">
        <f t="shared" si="1"/>
        <v>0.44117647058823528</v>
      </c>
      <c r="O64" t="s">
        <v>21</v>
      </c>
      <c r="P64" t="s">
        <v>39</v>
      </c>
      <c r="Q64" t="s">
        <v>83</v>
      </c>
      <c r="R64">
        <v>35</v>
      </c>
      <c r="S64">
        <v>23</v>
      </c>
      <c r="T64">
        <f t="shared" si="2"/>
        <v>0.65714285714285714</v>
      </c>
      <c r="V64" t="s">
        <v>21</v>
      </c>
      <c r="W64" t="s">
        <v>39</v>
      </c>
      <c r="X64" t="s">
        <v>84</v>
      </c>
      <c r="Y64">
        <v>32</v>
      </c>
      <c r="Z64">
        <v>28</v>
      </c>
      <c r="AA64">
        <f t="shared" si="3"/>
        <v>0.875</v>
      </c>
      <c r="AC64" t="s">
        <v>21</v>
      </c>
      <c r="AD64" t="s">
        <v>39</v>
      </c>
      <c r="AE64" t="s">
        <v>85</v>
      </c>
      <c r="AF64">
        <v>32</v>
      </c>
      <c r="AG64">
        <v>5</v>
      </c>
      <c r="AH64">
        <f t="shared" si="4"/>
        <v>0.15625</v>
      </c>
      <c r="AL64" t="s">
        <v>0</v>
      </c>
      <c r="AM64" t="s">
        <v>1</v>
      </c>
      <c r="AN64" s="2" t="s">
        <v>2</v>
      </c>
      <c r="AO64" t="s">
        <v>3</v>
      </c>
      <c r="AP64" t="s">
        <v>14</v>
      </c>
      <c r="AQ64" t="s">
        <v>18</v>
      </c>
      <c r="AR64" t="s">
        <v>21</v>
      </c>
      <c r="AS64" t="s">
        <v>29</v>
      </c>
    </row>
    <row r="65" spans="1:62" x14ac:dyDescent="0.25">
      <c r="A65" t="s">
        <v>0</v>
      </c>
      <c r="B65" t="s">
        <v>40</v>
      </c>
      <c r="C65" t="s">
        <v>79</v>
      </c>
      <c r="D65">
        <v>74</v>
      </c>
      <c r="E65">
        <v>51</v>
      </c>
      <c r="F65">
        <f t="shared" si="0"/>
        <v>0.68918918918918914</v>
      </c>
      <c r="H65" t="s">
        <v>0</v>
      </c>
      <c r="I65" t="s">
        <v>40</v>
      </c>
      <c r="J65" t="s">
        <v>81</v>
      </c>
      <c r="K65">
        <v>62</v>
      </c>
      <c r="L65">
        <v>25</v>
      </c>
      <c r="M65">
        <f t="shared" si="1"/>
        <v>0.40322580645161288</v>
      </c>
      <c r="O65" t="s">
        <v>0</v>
      </c>
      <c r="P65" t="s">
        <v>40</v>
      </c>
      <c r="Q65" t="s">
        <v>83</v>
      </c>
      <c r="R65">
        <v>57</v>
      </c>
      <c r="S65">
        <v>44</v>
      </c>
      <c r="T65">
        <f t="shared" si="2"/>
        <v>0.77192982456140347</v>
      </c>
      <c r="V65" t="s">
        <v>0</v>
      </c>
      <c r="W65" t="s">
        <v>40</v>
      </c>
      <c r="X65" t="s">
        <v>84</v>
      </c>
      <c r="Y65">
        <v>59</v>
      </c>
      <c r="Z65">
        <v>46</v>
      </c>
      <c r="AA65">
        <f t="shared" si="3"/>
        <v>0.77966101694915257</v>
      </c>
      <c r="AC65" t="s">
        <v>0</v>
      </c>
      <c r="AD65" t="s">
        <v>40</v>
      </c>
      <c r="AE65" t="s">
        <v>85</v>
      </c>
      <c r="AF65">
        <v>62</v>
      </c>
      <c r="AG65">
        <v>16</v>
      </c>
      <c r="AH65">
        <f t="shared" si="4"/>
        <v>0.25806451612903225</v>
      </c>
      <c r="AK65" t="s">
        <v>27</v>
      </c>
      <c r="AL65">
        <v>468</v>
      </c>
      <c r="AM65">
        <v>414</v>
      </c>
      <c r="AN65">
        <v>372</v>
      </c>
      <c r="AO65">
        <v>375</v>
      </c>
      <c r="AP65">
        <v>289</v>
      </c>
      <c r="AQ65">
        <v>272</v>
      </c>
      <c r="AR65">
        <v>273</v>
      </c>
      <c r="AS65">
        <f>SUM(AL65:AR65)</f>
        <v>2463</v>
      </c>
    </row>
    <row r="66" spans="1:62" x14ac:dyDescent="0.25">
      <c r="A66" t="s">
        <v>1</v>
      </c>
      <c r="B66" t="s">
        <v>40</v>
      </c>
      <c r="C66" t="s">
        <v>79</v>
      </c>
      <c r="D66">
        <v>49</v>
      </c>
      <c r="E66">
        <v>31</v>
      </c>
      <c r="F66">
        <f t="shared" si="0"/>
        <v>0.63265306122448983</v>
      </c>
      <c r="H66" t="s">
        <v>1</v>
      </c>
      <c r="I66" t="s">
        <v>40</v>
      </c>
      <c r="J66" t="s">
        <v>81</v>
      </c>
      <c r="K66">
        <v>44</v>
      </c>
      <c r="L66">
        <v>15</v>
      </c>
      <c r="M66">
        <f t="shared" si="1"/>
        <v>0.34090909090909088</v>
      </c>
      <c r="O66" t="s">
        <v>1</v>
      </c>
      <c r="P66" t="s">
        <v>40</v>
      </c>
      <c r="Q66" t="s">
        <v>83</v>
      </c>
      <c r="R66">
        <v>42</v>
      </c>
      <c r="S66">
        <v>27</v>
      </c>
      <c r="T66">
        <f t="shared" si="2"/>
        <v>0.6428571428571429</v>
      </c>
      <c r="V66" t="s">
        <v>1</v>
      </c>
      <c r="W66" t="s">
        <v>40</v>
      </c>
      <c r="X66" t="s">
        <v>84</v>
      </c>
      <c r="Y66">
        <v>45</v>
      </c>
      <c r="Z66">
        <v>27</v>
      </c>
      <c r="AA66">
        <f t="shared" si="3"/>
        <v>0.6</v>
      </c>
      <c r="AC66" t="s">
        <v>1</v>
      </c>
      <c r="AD66" t="s">
        <v>40</v>
      </c>
      <c r="AE66" t="s">
        <v>85</v>
      </c>
      <c r="AF66">
        <v>46</v>
      </c>
      <c r="AG66">
        <v>10</v>
      </c>
      <c r="AH66">
        <f t="shared" si="4"/>
        <v>0.21739130434782608</v>
      </c>
      <c r="AK66" t="s">
        <v>96</v>
      </c>
      <c r="AL66" s="9">
        <v>298</v>
      </c>
      <c r="AM66" s="9">
        <v>210</v>
      </c>
      <c r="AN66" s="9">
        <v>201</v>
      </c>
      <c r="AO66" s="9">
        <v>195</v>
      </c>
      <c r="AP66" s="9">
        <v>155</v>
      </c>
      <c r="AQ66" s="9">
        <v>144</v>
      </c>
      <c r="AR66" s="9">
        <v>163</v>
      </c>
      <c r="AS66">
        <f>SUM(AL66:AR66)</f>
        <v>1366</v>
      </c>
    </row>
    <row r="67" spans="1:62" x14ac:dyDescent="0.25">
      <c r="A67" t="s">
        <v>2</v>
      </c>
      <c r="B67" t="s">
        <v>40</v>
      </c>
      <c r="C67" t="s">
        <v>79</v>
      </c>
      <c r="D67">
        <v>79</v>
      </c>
      <c r="E67">
        <v>33</v>
      </c>
      <c r="F67">
        <f t="shared" si="0"/>
        <v>0.41772151898734178</v>
      </c>
      <c r="H67" t="s">
        <v>2</v>
      </c>
      <c r="I67" t="s">
        <v>40</v>
      </c>
      <c r="J67" t="s">
        <v>81</v>
      </c>
      <c r="K67">
        <v>63</v>
      </c>
      <c r="L67">
        <v>21</v>
      </c>
      <c r="M67">
        <f t="shared" si="1"/>
        <v>0.33333333333333331</v>
      </c>
      <c r="O67" t="s">
        <v>2</v>
      </c>
      <c r="P67" t="s">
        <v>40</v>
      </c>
      <c r="Q67" t="s">
        <v>83</v>
      </c>
      <c r="R67">
        <v>66</v>
      </c>
      <c r="S67">
        <v>35</v>
      </c>
      <c r="T67">
        <f t="shared" si="2"/>
        <v>0.53030303030303028</v>
      </c>
      <c r="V67" t="s">
        <v>2</v>
      </c>
      <c r="W67" t="s">
        <v>40</v>
      </c>
      <c r="X67" t="s">
        <v>84</v>
      </c>
      <c r="Y67">
        <v>65</v>
      </c>
      <c r="Z67">
        <v>45</v>
      </c>
      <c r="AA67">
        <f t="shared" si="3"/>
        <v>0.69230769230769229</v>
      </c>
      <c r="AC67" t="s">
        <v>2</v>
      </c>
      <c r="AD67" t="s">
        <v>40</v>
      </c>
      <c r="AE67" t="s">
        <v>85</v>
      </c>
      <c r="AF67">
        <v>69</v>
      </c>
      <c r="AG67">
        <v>11</v>
      </c>
      <c r="AH67">
        <f t="shared" si="4"/>
        <v>0.15942028985507245</v>
      </c>
      <c r="AK67" s="1" t="s">
        <v>28</v>
      </c>
      <c r="AL67" s="5">
        <f>AL66/AL65</f>
        <v>0.63675213675213671</v>
      </c>
      <c r="AM67" s="5">
        <f t="shared" ref="AM67:AR67" si="9">AM66/AM65</f>
        <v>0.50724637681159424</v>
      </c>
      <c r="AN67" s="5">
        <f t="shared" si="9"/>
        <v>0.54032258064516125</v>
      </c>
      <c r="AO67" s="5">
        <f t="shared" si="9"/>
        <v>0.52</v>
      </c>
      <c r="AP67" s="5">
        <f t="shared" si="9"/>
        <v>0.53633217993079585</v>
      </c>
      <c r="AQ67" s="5">
        <f t="shared" si="9"/>
        <v>0.52941176470588236</v>
      </c>
      <c r="AR67" s="5">
        <f t="shared" si="9"/>
        <v>0.59706959706959706</v>
      </c>
      <c r="AS67" s="5">
        <f t="shared" ref="AS67" si="10">AS66/AS65</f>
        <v>0.55460820138043032</v>
      </c>
      <c r="BJ67" s="3"/>
    </row>
    <row r="68" spans="1:62" x14ac:dyDescent="0.25">
      <c r="A68" t="s">
        <v>3</v>
      </c>
      <c r="B68" t="s">
        <v>40</v>
      </c>
      <c r="C68" t="s">
        <v>79</v>
      </c>
      <c r="D68">
        <v>56</v>
      </c>
      <c r="E68">
        <v>28</v>
      </c>
      <c r="F68">
        <f t="shared" si="0"/>
        <v>0.5</v>
      </c>
      <c r="H68" t="s">
        <v>3</v>
      </c>
      <c r="I68" t="s">
        <v>40</v>
      </c>
      <c r="J68" t="s">
        <v>81</v>
      </c>
      <c r="K68">
        <v>45</v>
      </c>
      <c r="L68">
        <v>10</v>
      </c>
      <c r="M68">
        <f t="shared" si="1"/>
        <v>0.22222222222222221</v>
      </c>
      <c r="O68" t="s">
        <v>3</v>
      </c>
      <c r="P68" t="s">
        <v>40</v>
      </c>
      <c r="Q68" t="s">
        <v>83</v>
      </c>
      <c r="R68">
        <v>43</v>
      </c>
      <c r="S68">
        <v>23</v>
      </c>
      <c r="T68">
        <f t="shared" si="2"/>
        <v>0.53488372093023251</v>
      </c>
      <c r="V68" t="s">
        <v>3</v>
      </c>
      <c r="W68" t="s">
        <v>40</v>
      </c>
      <c r="X68" t="s">
        <v>84</v>
      </c>
      <c r="Y68">
        <v>43</v>
      </c>
      <c r="Z68">
        <v>34</v>
      </c>
      <c r="AA68">
        <f t="shared" si="3"/>
        <v>0.79069767441860461</v>
      </c>
      <c r="AC68" t="s">
        <v>3</v>
      </c>
      <c r="AD68" t="s">
        <v>40</v>
      </c>
      <c r="AE68" t="s">
        <v>85</v>
      </c>
      <c r="AF68">
        <v>43</v>
      </c>
      <c r="AG68">
        <v>11</v>
      </c>
      <c r="AH68">
        <f t="shared" si="4"/>
        <v>0.2558139534883721</v>
      </c>
    </row>
    <row r="69" spans="1:62" x14ac:dyDescent="0.25">
      <c r="A69" t="s">
        <v>14</v>
      </c>
      <c r="B69" t="s">
        <v>40</v>
      </c>
      <c r="C69" t="s">
        <v>79</v>
      </c>
      <c r="D69">
        <v>62</v>
      </c>
      <c r="E69">
        <v>36</v>
      </c>
      <c r="F69">
        <f t="shared" si="0"/>
        <v>0.58064516129032262</v>
      </c>
      <c r="H69" t="s">
        <v>14</v>
      </c>
      <c r="I69" t="s">
        <v>40</v>
      </c>
      <c r="J69" t="s">
        <v>81</v>
      </c>
      <c r="K69">
        <v>47</v>
      </c>
      <c r="L69">
        <v>11</v>
      </c>
      <c r="M69">
        <f t="shared" si="1"/>
        <v>0.23404255319148937</v>
      </c>
      <c r="O69" t="s">
        <v>14</v>
      </c>
      <c r="P69" t="s">
        <v>40</v>
      </c>
      <c r="Q69" t="s">
        <v>83</v>
      </c>
      <c r="R69">
        <v>48</v>
      </c>
      <c r="S69">
        <v>30</v>
      </c>
      <c r="T69">
        <f t="shared" si="2"/>
        <v>0.625</v>
      </c>
      <c r="V69" t="s">
        <v>14</v>
      </c>
      <c r="W69" t="s">
        <v>40</v>
      </c>
      <c r="X69" t="s">
        <v>84</v>
      </c>
      <c r="Y69">
        <v>45</v>
      </c>
      <c r="Z69">
        <v>36</v>
      </c>
      <c r="AA69">
        <f t="shared" si="3"/>
        <v>0.8</v>
      </c>
      <c r="AC69" t="s">
        <v>14</v>
      </c>
      <c r="AD69" t="s">
        <v>40</v>
      </c>
      <c r="AE69" t="s">
        <v>85</v>
      </c>
      <c r="AF69">
        <v>49</v>
      </c>
      <c r="AG69">
        <v>9</v>
      </c>
      <c r="AH69">
        <f t="shared" si="4"/>
        <v>0.18367346938775511</v>
      </c>
    </row>
    <row r="70" spans="1:62" x14ac:dyDescent="0.25">
      <c r="A70" t="s">
        <v>18</v>
      </c>
      <c r="B70" t="s">
        <v>40</v>
      </c>
      <c r="C70" t="s">
        <v>79</v>
      </c>
      <c r="D70">
        <v>36</v>
      </c>
      <c r="E70">
        <v>15</v>
      </c>
      <c r="F70">
        <f t="shared" si="0"/>
        <v>0.41666666666666669</v>
      </c>
      <c r="H70" t="s">
        <v>18</v>
      </c>
      <c r="I70" t="s">
        <v>40</v>
      </c>
      <c r="J70" t="s">
        <v>81</v>
      </c>
      <c r="K70">
        <v>29</v>
      </c>
      <c r="L70">
        <v>11</v>
      </c>
      <c r="M70">
        <f t="shared" si="1"/>
        <v>0.37931034482758619</v>
      </c>
      <c r="O70" t="s">
        <v>18</v>
      </c>
      <c r="P70" t="s">
        <v>40</v>
      </c>
      <c r="Q70" t="s">
        <v>83</v>
      </c>
      <c r="R70">
        <v>27</v>
      </c>
      <c r="S70">
        <v>20</v>
      </c>
      <c r="T70">
        <f t="shared" si="2"/>
        <v>0.7407407407407407</v>
      </c>
      <c r="V70" t="s">
        <v>18</v>
      </c>
      <c r="W70" t="s">
        <v>40</v>
      </c>
      <c r="X70" t="s">
        <v>84</v>
      </c>
      <c r="Y70">
        <v>30</v>
      </c>
      <c r="Z70">
        <v>20</v>
      </c>
      <c r="AA70">
        <f t="shared" si="3"/>
        <v>0.66666666666666663</v>
      </c>
      <c r="AC70" t="s">
        <v>18</v>
      </c>
      <c r="AD70" t="s">
        <v>40</v>
      </c>
      <c r="AE70" t="s">
        <v>85</v>
      </c>
      <c r="AF70">
        <v>28</v>
      </c>
      <c r="AG70">
        <v>7</v>
      </c>
      <c r="AH70">
        <f t="shared" si="4"/>
        <v>0.25</v>
      </c>
    </row>
    <row r="71" spans="1:62" x14ac:dyDescent="0.25">
      <c r="A71" t="s">
        <v>21</v>
      </c>
      <c r="B71" t="s">
        <v>40</v>
      </c>
      <c r="C71" t="s">
        <v>79</v>
      </c>
      <c r="D71">
        <v>59</v>
      </c>
      <c r="E71">
        <v>35</v>
      </c>
      <c r="F71">
        <f t="shared" si="0"/>
        <v>0.59322033898305082</v>
      </c>
      <c r="H71" t="s">
        <v>21</v>
      </c>
      <c r="I71" t="s">
        <v>40</v>
      </c>
      <c r="J71" t="s">
        <v>81</v>
      </c>
      <c r="K71">
        <v>46</v>
      </c>
      <c r="L71">
        <v>14</v>
      </c>
      <c r="M71">
        <f t="shared" si="1"/>
        <v>0.30434782608695654</v>
      </c>
      <c r="O71" t="s">
        <v>21</v>
      </c>
      <c r="P71" t="s">
        <v>40</v>
      </c>
      <c r="Q71" t="s">
        <v>83</v>
      </c>
      <c r="R71">
        <v>46</v>
      </c>
      <c r="S71">
        <v>30</v>
      </c>
      <c r="T71">
        <f t="shared" si="2"/>
        <v>0.65217391304347827</v>
      </c>
      <c r="V71" t="s">
        <v>21</v>
      </c>
      <c r="W71" t="s">
        <v>40</v>
      </c>
      <c r="X71" t="s">
        <v>84</v>
      </c>
      <c r="Y71">
        <v>42</v>
      </c>
      <c r="Z71">
        <v>35</v>
      </c>
      <c r="AA71">
        <f t="shared" si="3"/>
        <v>0.83333333333333337</v>
      </c>
      <c r="AC71" t="s">
        <v>21</v>
      </c>
      <c r="AD71" t="s">
        <v>40</v>
      </c>
      <c r="AE71" t="s">
        <v>85</v>
      </c>
      <c r="AF71">
        <v>44</v>
      </c>
      <c r="AG71">
        <v>11</v>
      </c>
      <c r="AH71">
        <f t="shared" si="4"/>
        <v>0.25</v>
      </c>
    </row>
    <row r="73" spans="1:62" ht="15" customHeight="1" x14ac:dyDescent="0.25">
      <c r="B73" s="10"/>
      <c r="C73" s="10"/>
      <c r="D73" s="10"/>
      <c r="E73" s="10"/>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sheetData>
  <mergeCells count="18">
    <mergeCell ref="A11:E13"/>
    <mergeCell ref="AK12:AN13"/>
    <mergeCell ref="AV12:AY13"/>
    <mergeCell ref="A14:F14"/>
    <mergeCell ref="BI12:BL13"/>
    <mergeCell ref="H11:O13"/>
    <mergeCell ref="Q11:X13"/>
    <mergeCell ref="Z11:AG13"/>
    <mergeCell ref="H14:M14"/>
    <mergeCell ref="O14:T14"/>
    <mergeCell ref="V14:AA14"/>
    <mergeCell ref="AC14:AH14"/>
    <mergeCell ref="BA11:BE13"/>
    <mergeCell ref="BN11:BR13"/>
    <mergeCell ref="AK32:AN33"/>
    <mergeCell ref="AK51:AN52"/>
    <mergeCell ref="AV47:AY48"/>
    <mergeCell ref="BI47:BL48"/>
  </mergeCells>
  <phoneticPr fontId="3"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09025-29D7-4973-8556-D67EF02CC19F}">
  <dimension ref="A1:Y37"/>
  <sheetViews>
    <sheetView workbookViewId="0"/>
  </sheetViews>
  <sheetFormatPr defaultRowHeight="15" x14ac:dyDescent="0.25"/>
  <cols>
    <col min="1" max="1" width="14.7109375" bestFit="1" customWidth="1"/>
    <col min="14" max="14" width="30.5703125" bestFit="1" customWidth="1"/>
  </cols>
  <sheetData>
    <row r="1" spans="1:19" ht="15" customHeight="1" x14ac:dyDescent="0.25"/>
    <row r="2" spans="1:19" x14ac:dyDescent="0.25">
      <c r="A2" s="24"/>
      <c r="B2" s="24"/>
      <c r="C2" s="24"/>
      <c r="D2" s="24"/>
      <c r="E2" s="24"/>
      <c r="F2" s="24"/>
      <c r="G2" s="24"/>
      <c r="H2" s="24"/>
      <c r="I2" s="24"/>
      <c r="J2" s="24"/>
      <c r="K2" s="24"/>
      <c r="N2" s="22" t="s">
        <v>15</v>
      </c>
      <c r="O2" s="23"/>
      <c r="P2" s="23"/>
      <c r="Q2" s="23"/>
    </row>
    <row r="3" spans="1:19" x14ac:dyDescent="0.25">
      <c r="A3" s="24"/>
      <c r="B3" s="24"/>
      <c r="C3" s="24"/>
      <c r="D3" s="24"/>
      <c r="E3" s="24"/>
      <c r="F3" s="24"/>
      <c r="G3" s="24"/>
      <c r="H3" s="24"/>
      <c r="I3" s="24"/>
      <c r="J3" s="24"/>
      <c r="K3" s="24"/>
      <c r="N3" s="23"/>
      <c r="O3" s="23"/>
      <c r="P3" s="23"/>
      <c r="Q3" s="23"/>
    </row>
    <row r="4" spans="1:19" x14ac:dyDescent="0.25">
      <c r="C4" s="35" t="s">
        <v>9</v>
      </c>
      <c r="D4" s="36"/>
      <c r="E4" s="37"/>
      <c r="F4" s="35" t="s">
        <v>5</v>
      </c>
      <c r="G4" s="36"/>
      <c r="H4" s="37"/>
      <c r="I4" s="35" t="s">
        <v>10</v>
      </c>
      <c r="J4" s="36"/>
      <c r="K4" s="37"/>
    </row>
    <row r="5" spans="1:19" x14ac:dyDescent="0.25">
      <c r="A5" t="s">
        <v>13</v>
      </c>
      <c r="B5" t="s">
        <v>6</v>
      </c>
      <c r="C5" t="s">
        <v>7</v>
      </c>
      <c r="D5" t="s">
        <v>4</v>
      </c>
      <c r="E5" t="s">
        <v>8</v>
      </c>
      <c r="F5" t="s">
        <v>7</v>
      </c>
      <c r="G5" t="s">
        <v>4</v>
      </c>
      <c r="H5" t="s">
        <v>8</v>
      </c>
      <c r="I5" t="s">
        <v>7</v>
      </c>
      <c r="J5" t="s">
        <v>4</v>
      </c>
      <c r="K5" t="s">
        <v>8</v>
      </c>
      <c r="O5" t="s">
        <v>11</v>
      </c>
      <c r="P5" t="s">
        <v>12</v>
      </c>
      <c r="Q5" t="s">
        <v>93</v>
      </c>
      <c r="R5" t="s">
        <v>7</v>
      </c>
    </row>
    <row r="6" spans="1:19" x14ac:dyDescent="0.25">
      <c r="A6" t="s">
        <v>42</v>
      </c>
      <c r="B6" t="s">
        <v>33</v>
      </c>
      <c r="C6">
        <v>2</v>
      </c>
      <c r="D6">
        <v>0</v>
      </c>
      <c r="E6" s="2">
        <v>0</v>
      </c>
      <c r="F6">
        <v>2</v>
      </c>
      <c r="G6">
        <v>0</v>
      </c>
      <c r="H6" s="2">
        <v>0</v>
      </c>
      <c r="I6">
        <v>2</v>
      </c>
      <c r="J6">
        <v>0</v>
      </c>
      <c r="K6" s="2">
        <v>0</v>
      </c>
      <c r="N6" t="s">
        <v>41</v>
      </c>
      <c r="O6" s="2">
        <v>0.55098039215686279</v>
      </c>
      <c r="P6" s="2">
        <v>0.59281045751633987</v>
      </c>
      <c r="Q6" s="2">
        <v>0.68823529411764706</v>
      </c>
      <c r="R6">
        <v>1530</v>
      </c>
    </row>
    <row r="7" spans="1:19" x14ac:dyDescent="0.25">
      <c r="A7" t="s">
        <v>43</v>
      </c>
      <c r="B7" t="s">
        <v>33</v>
      </c>
      <c r="C7">
        <v>9</v>
      </c>
      <c r="D7">
        <v>2</v>
      </c>
      <c r="E7" s="2">
        <v>0.22</v>
      </c>
      <c r="F7">
        <v>9</v>
      </c>
      <c r="G7">
        <v>2</v>
      </c>
      <c r="H7" s="2">
        <v>0.22</v>
      </c>
      <c r="I7">
        <v>9</v>
      </c>
      <c r="J7">
        <v>4</v>
      </c>
      <c r="K7" s="2">
        <v>0.44</v>
      </c>
      <c r="N7" t="s">
        <v>51</v>
      </c>
      <c r="O7" s="2">
        <v>0.38</v>
      </c>
      <c r="P7" s="2">
        <v>0.65</v>
      </c>
      <c r="Q7" s="2">
        <v>0.74</v>
      </c>
      <c r="R7">
        <v>31</v>
      </c>
    </row>
    <row r="8" spans="1:19" x14ac:dyDescent="0.25">
      <c r="A8" t="s">
        <v>44</v>
      </c>
      <c r="B8" t="s">
        <v>33</v>
      </c>
      <c r="C8">
        <v>230</v>
      </c>
      <c r="D8">
        <v>170</v>
      </c>
      <c r="E8" s="2">
        <v>0.74</v>
      </c>
      <c r="F8">
        <v>230</v>
      </c>
      <c r="G8">
        <v>170</v>
      </c>
      <c r="H8" s="2">
        <v>0.74</v>
      </c>
      <c r="I8">
        <v>230</v>
      </c>
      <c r="J8">
        <v>183</v>
      </c>
      <c r="K8" s="2">
        <v>0.8</v>
      </c>
      <c r="N8" t="s">
        <v>52</v>
      </c>
      <c r="O8" s="2">
        <v>0.63</v>
      </c>
      <c r="P8" s="2">
        <v>0.59</v>
      </c>
      <c r="Q8" s="2">
        <v>0.65</v>
      </c>
      <c r="R8">
        <v>17</v>
      </c>
    </row>
    <row r="9" spans="1:19" x14ac:dyDescent="0.25">
      <c r="A9" t="s">
        <v>45</v>
      </c>
      <c r="B9" t="s">
        <v>34</v>
      </c>
      <c r="C9">
        <v>24</v>
      </c>
      <c r="D9">
        <v>9</v>
      </c>
      <c r="E9" s="2">
        <v>0.38</v>
      </c>
      <c r="F9">
        <v>24</v>
      </c>
      <c r="G9">
        <v>12</v>
      </c>
      <c r="H9" s="2">
        <v>0.5</v>
      </c>
      <c r="I9">
        <v>24</v>
      </c>
      <c r="J9">
        <v>13</v>
      </c>
      <c r="K9" s="2">
        <v>0.54</v>
      </c>
      <c r="N9" t="s">
        <v>53</v>
      </c>
      <c r="O9" s="2">
        <v>0.59</v>
      </c>
      <c r="P9" s="2">
        <v>0.56999999999999995</v>
      </c>
      <c r="Q9" s="2">
        <v>0.7</v>
      </c>
      <c r="R9">
        <v>37</v>
      </c>
    </row>
    <row r="10" spans="1:19" x14ac:dyDescent="0.25">
      <c r="A10" t="s">
        <v>46</v>
      </c>
      <c r="B10" t="s">
        <v>34</v>
      </c>
      <c r="C10">
        <v>59</v>
      </c>
      <c r="D10">
        <v>37</v>
      </c>
      <c r="E10" s="2">
        <v>0.63</v>
      </c>
      <c r="F10">
        <v>59</v>
      </c>
      <c r="G10">
        <v>44</v>
      </c>
      <c r="H10" s="2">
        <v>0.75</v>
      </c>
      <c r="I10">
        <v>59</v>
      </c>
      <c r="J10">
        <v>47</v>
      </c>
      <c r="K10" s="2">
        <v>0.8</v>
      </c>
      <c r="N10" t="s">
        <v>54</v>
      </c>
      <c r="O10" s="2">
        <v>0.33</v>
      </c>
      <c r="P10" s="2">
        <v>0.47</v>
      </c>
      <c r="Q10" s="2">
        <v>0.53</v>
      </c>
      <c r="R10">
        <v>15</v>
      </c>
    </row>
    <row r="11" spans="1:19" x14ac:dyDescent="0.25">
      <c r="A11" t="s">
        <v>47</v>
      </c>
      <c r="B11" t="s">
        <v>34</v>
      </c>
      <c r="C11">
        <v>79</v>
      </c>
      <c r="D11">
        <v>47</v>
      </c>
      <c r="E11" s="2">
        <v>0.59</v>
      </c>
      <c r="F11">
        <v>79</v>
      </c>
      <c r="G11">
        <v>56</v>
      </c>
      <c r="H11" s="2">
        <v>0.71</v>
      </c>
      <c r="I11">
        <v>79</v>
      </c>
      <c r="J11">
        <v>59</v>
      </c>
      <c r="K11" s="2">
        <v>0.75</v>
      </c>
      <c r="N11" t="s">
        <v>55</v>
      </c>
      <c r="O11" s="2">
        <v>0.71</v>
      </c>
      <c r="P11" s="2">
        <v>0.71</v>
      </c>
      <c r="Q11" s="2">
        <v>0.71</v>
      </c>
      <c r="R11">
        <v>17</v>
      </c>
    </row>
    <row r="12" spans="1:19" x14ac:dyDescent="0.25">
      <c r="A12" t="s">
        <v>48</v>
      </c>
      <c r="B12" t="s">
        <v>34</v>
      </c>
      <c r="C12">
        <v>62</v>
      </c>
      <c r="D12">
        <v>38</v>
      </c>
      <c r="E12" s="2">
        <v>0.61</v>
      </c>
      <c r="F12">
        <v>62</v>
      </c>
      <c r="G12">
        <v>48</v>
      </c>
      <c r="H12" s="2">
        <v>0.77</v>
      </c>
      <c r="I12">
        <v>62</v>
      </c>
      <c r="J12">
        <v>51</v>
      </c>
      <c r="K12" s="2">
        <v>0.82</v>
      </c>
      <c r="N12" t="s">
        <v>56</v>
      </c>
      <c r="O12" s="2">
        <v>0.25</v>
      </c>
      <c r="P12" s="2">
        <v>0.5</v>
      </c>
      <c r="Q12" s="2">
        <v>0.5</v>
      </c>
      <c r="R12">
        <v>4</v>
      </c>
    </row>
    <row r="13" spans="1:19" x14ac:dyDescent="0.25">
      <c r="A13" t="s">
        <v>49</v>
      </c>
      <c r="B13" t="s">
        <v>34</v>
      </c>
      <c r="C13">
        <v>3</v>
      </c>
      <c r="D13">
        <v>2</v>
      </c>
      <c r="E13" s="2">
        <v>0.67</v>
      </c>
      <c r="F13">
        <v>3</v>
      </c>
      <c r="G13">
        <v>3</v>
      </c>
      <c r="H13" s="2">
        <v>1</v>
      </c>
      <c r="I13">
        <v>3</v>
      </c>
      <c r="J13">
        <v>3</v>
      </c>
      <c r="K13" s="2">
        <v>1</v>
      </c>
      <c r="N13" t="s">
        <v>57</v>
      </c>
      <c r="O13" s="2">
        <v>0.33</v>
      </c>
      <c r="P13" s="2">
        <v>0.33</v>
      </c>
      <c r="Q13" s="2">
        <v>0.33</v>
      </c>
      <c r="R13">
        <v>3</v>
      </c>
    </row>
    <row r="14" spans="1:19" x14ac:dyDescent="0.25">
      <c r="A14" t="s">
        <v>50</v>
      </c>
      <c r="B14" t="s">
        <v>34</v>
      </c>
      <c r="C14">
        <v>127</v>
      </c>
      <c r="D14">
        <v>56</v>
      </c>
      <c r="E14" s="2">
        <v>0.44</v>
      </c>
      <c r="F14">
        <v>127</v>
      </c>
      <c r="G14">
        <v>59</v>
      </c>
      <c r="H14" s="2">
        <v>0.46</v>
      </c>
      <c r="I14">
        <v>127</v>
      </c>
      <c r="J14">
        <v>61</v>
      </c>
      <c r="K14" s="2">
        <v>0.48</v>
      </c>
      <c r="N14" t="s">
        <v>58</v>
      </c>
      <c r="O14" s="2">
        <v>0.15</v>
      </c>
      <c r="P14" s="2">
        <v>0.15</v>
      </c>
      <c r="Q14" s="2">
        <v>0.64</v>
      </c>
      <c r="R14">
        <v>88</v>
      </c>
      <c r="S14" t="s">
        <v>73</v>
      </c>
    </row>
    <row r="15" spans="1:19" x14ac:dyDescent="0.25">
      <c r="A15" t="s">
        <v>51</v>
      </c>
      <c r="B15" t="s">
        <v>35</v>
      </c>
      <c r="C15">
        <v>31</v>
      </c>
      <c r="D15">
        <v>19</v>
      </c>
      <c r="E15" s="2">
        <v>0.61</v>
      </c>
      <c r="F15">
        <v>31</v>
      </c>
      <c r="G15">
        <v>20</v>
      </c>
      <c r="H15" s="2">
        <v>0.65</v>
      </c>
      <c r="I15">
        <v>31</v>
      </c>
      <c r="J15">
        <v>23</v>
      </c>
      <c r="K15" s="2">
        <v>0.74</v>
      </c>
      <c r="O15" s="2"/>
      <c r="P15" s="2"/>
      <c r="Q15" s="2"/>
    </row>
    <row r="16" spans="1:19" x14ac:dyDescent="0.25">
      <c r="A16" t="s">
        <v>52</v>
      </c>
      <c r="B16" t="s">
        <v>35</v>
      </c>
      <c r="C16">
        <v>17</v>
      </c>
      <c r="D16">
        <v>7</v>
      </c>
      <c r="E16" s="2">
        <v>0.41</v>
      </c>
      <c r="F16">
        <v>17</v>
      </c>
      <c r="G16">
        <v>10</v>
      </c>
      <c r="H16" s="2">
        <v>0.59</v>
      </c>
      <c r="I16">
        <v>17</v>
      </c>
      <c r="J16">
        <v>11</v>
      </c>
      <c r="K16" s="2">
        <v>0.65</v>
      </c>
      <c r="O16" s="2"/>
      <c r="P16" s="2"/>
      <c r="Q16" s="2"/>
    </row>
    <row r="17" spans="1:25" x14ac:dyDescent="0.25">
      <c r="A17" t="s">
        <v>53</v>
      </c>
      <c r="B17" t="s">
        <v>35</v>
      </c>
      <c r="C17">
        <v>37</v>
      </c>
      <c r="D17">
        <v>20</v>
      </c>
      <c r="E17" s="2">
        <v>0.54</v>
      </c>
      <c r="F17">
        <v>37</v>
      </c>
      <c r="G17">
        <v>21</v>
      </c>
      <c r="H17" s="2">
        <v>0.56999999999999995</v>
      </c>
      <c r="I17">
        <v>37</v>
      </c>
      <c r="J17">
        <v>26</v>
      </c>
      <c r="K17" s="2">
        <v>0.7</v>
      </c>
    </row>
    <row r="18" spans="1:25" x14ac:dyDescent="0.25">
      <c r="A18" t="s">
        <v>54</v>
      </c>
      <c r="B18" t="s">
        <v>35</v>
      </c>
      <c r="C18">
        <v>12</v>
      </c>
      <c r="D18">
        <v>7</v>
      </c>
      <c r="E18" s="2">
        <v>0.57999999999999996</v>
      </c>
      <c r="F18">
        <v>12</v>
      </c>
      <c r="G18">
        <v>7</v>
      </c>
      <c r="H18" s="2">
        <v>0.57999999999999996</v>
      </c>
      <c r="I18">
        <v>12</v>
      </c>
      <c r="J18">
        <v>8</v>
      </c>
      <c r="K18" s="2">
        <v>0.67</v>
      </c>
      <c r="Y18" s="4"/>
    </row>
    <row r="19" spans="1:25" x14ac:dyDescent="0.25">
      <c r="A19" t="s">
        <v>55</v>
      </c>
      <c r="B19" t="s">
        <v>35</v>
      </c>
      <c r="C19">
        <v>15</v>
      </c>
      <c r="D19">
        <v>5</v>
      </c>
      <c r="E19" s="2">
        <v>0.33</v>
      </c>
      <c r="F19">
        <v>15</v>
      </c>
      <c r="G19">
        <v>7</v>
      </c>
      <c r="H19" s="2">
        <v>0.47</v>
      </c>
      <c r="I19">
        <v>15</v>
      </c>
      <c r="J19">
        <v>8</v>
      </c>
      <c r="K19" s="2">
        <v>0.53</v>
      </c>
    </row>
    <row r="20" spans="1:25" x14ac:dyDescent="0.25">
      <c r="A20" t="s">
        <v>56</v>
      </c>
      <c r="B20" t="s">
        <v>35</v>
      </c>
      <c r="C20">
        <v>17</v>
      </c>
      <c r="D20">
        <v>12</v>
      </c>
      <c r="E20" s="2">
        <v>0.71</v>
      </c>
      <c r="F20">
        <v>17</v>
      </c>
      <c r="G20">
        <v>12</v>
      </c>
      <c r="H20" s="2">
        <v>0.71</v>
      </c>
      <c r="I20">
        <v>17</v>
      </c>
      <c r="J20">
        <v>12</v>
      </c>
      <c r="K20" s="2">
        <v>0.71</v>
      </c>
      <c r="Y20" s="4"/>
    </row>
    <row r="21" spans="1:25" x14ac:dyDescent="0.25">
      <c r="A21" t="s">
        <v>57</v>
      </c>
      <c r="B21" t="s">
        <v>35</v>
      </c>
      <c r="C21">
        <v>4</v>
      </c>
      <c r="D21">
        <v>1</v>
      </c>
      <c r="E21" s="2">
        <v>0.25</v>
      </c>
      <c r="F21">
        <v>4</v>
      </c>
      <c r="G21">
        <v>2</v>
      </c>
      <c r="H21" s="2">
        <v>0.5</v>
      </c>
      <c r="I21">
        <v>4</v>
      </c>
      <c r="J21">
        <v>2</v>
      </c>
      <c r="K21" s="2">
        <v>0.5</v>
      </c>
    </row>
    <row r="22" spans="1:25" x14ac:dyDescent="0.25">
      <c r="A22" t="s">
        <v>58</v>
      </c>
      <c r="B22" t="s">
        <v>35</v>
      </c>
      <c r="C22">
        <v>3</v>
      </c>
      <c r="D22">
        <v>1</v>
      </c>
      <c r="E22" s="2">
        <v>0.33</v>
      </c>
      <c r="F22">
        <v>3</v>
      </c>
      <c r="G22">
        <v>1</v>
      </c>
      <c r="H22" s="2">
        <v>0.33</v>
      </c>
      <c r="I22">
        <v>3</v>
      </c>
      <c r="J22">
        <v>1</v>
      </c>
      <c r="K22" s="2">
        <v>0.33</v>
      </c>
    </row>
    <row r="23" spans="1:25" x14ac:dyDescent="0.25">
      <c r="A23" t="s">
        <v>59</v>
      </c>
      <c r="B23" t="s">
        <v>36</v>
      </c>
      <c r="C23">
        <v>88</v>
      </c>
      <c r="D23">
        <v>13</v>
      </c>
      <c r="E23" s="2">
        <v>0.15</v>
      </c>
      <c r="F23">
        <v>88</v>
      </c>
      <c r="G23">
        <v>13</v>
      </c>
      <c r="H23" s="2">
        <v>0.15</v>
      </c>
      <c r="I23">
        <v>88</v>
      </c>
      <c r="J23">
        <v>56</v>
      </c>
      <c r="K23" s="2">
        <v>0.64</v>
      </c>
    </row>
    <row r="24" spans="1:25" x14ac:dyDescent="0.25">
      <c r="A24" t="s">
        <v>60</v>
      </c>
      <c r="B24" t="s">
        <v>37</v>
      </c>
      <c r="C24">
        <v>19</v>
      </c>
      <c r="D24">
        <v>7</v>
      </c>
      <c r="E24" s="2">
        <v>0.37</v>
      </c>
      <c r="F24">
        <v>19</v>
      </c>
      <c r="G24">
        <v>12</v>
      </c>
      <c r="H24" s="2">
        <v>0.63</v>
      </c>
      <c r="I24">
        <v>19</v>
      </c>
      <c r="J24">
        <v>14</v>
      </c>
      <c r="K24" s="2">
        <v>0.74</v>
      </c>
    </row>
    <row r="25" spans="1:25" x14ac:dyDescent="0.25">
      <c r="A25" t="s">
        <v>61</v>
      </c>
      <c r="B25" t="s">
        <v>37</v>
      </c>
      <c r="C25">
        <v>15</v>
      </c>
      <c r="D25">
        <v>9</v>
      </c>
      <c r="E25" s="2">
        <v>0.6</v>
      </c>
      <c r="F25">
        <v>15</v>
      </c>
      <c r="G25">
        <v>9</v>
      </c>
      <c r="H25" s="2">
        <v>0.6</v>
      </c>
      <c r="I25">
        <v>15</v>
      </c>
      <c r="J25">
        <v>9</v>
      </c>
      <c r="K25" s="2">
        <v>0.6</v>
      </c>
    </row>
    <row r="26" spans="1:25" x14ac:dyDescent="0.25">
      <c r="A26" t="s">
        <v>62</v>
      </c>
      <c r="B26" t="s">
        <v>37</v>
      </c>
      <c r="C26">
        <v>164</v>
      </c>
      <c r="D26">
        <v>104</v>
      </c>
      <c r="E26" s="2">
        <v>0.63</v>
      </c>
      <c r="F26">
        <v>164</v>
      </c>
      <c r="G26">
        <v>106</v>
      </c>
      <c r="H26" s="2">
        <v>0.65</v>
      </c>
      <c r="I26">
        <v>164</v>
      </c>
      <c r="J26">
        <v>112</v>
      </c>
      <c r="K26" s="2">
        <v>0.68</v>
      </c>
      <c r="Y26" s="4"/>
    </row>
    <row r="27" spans="1:25" x14ac:dyDescent="0.25">
      <c r="A27" t="s">
        <v>63</v>
      </c>
      <c r="B27" t="s">
        <v>38</v>
      </c>
      <c r="C27">
        <v>10</v>
      </c>
      <c r="D27">
        <v>5</v>
      </c>
      <c r="E27" s="2">
        <v>0.5</v>
      </c>
      <c r="F27">
        <v>10</v>
      </c>
      <c r="G27">
        <v>6</v>
      </c>
      <c r="H27" s="2">
        <v>0.6</v>
      </c>
      <c r="I27">
        <v>10</v>
      </c>
      <c r="J27">
        <v>6</v>
      </c>
      <c r="K27" s="2">
        <v>0.6</v>
      </c>
    </row>
    <row r="28" spans="1:25" x14ac:dyDescent="0.25">
      <c r="A28" t="s">
        <v>64</v>
      </c>
      <c r="B28" t="s">
        <v>38</v>
      </c>
      <c r="C28">
        <v>130</v>
      </c>
      <c r="D28">
        <v>68</v>
      </c>
      <c r="E28" s="2">
        <v>0.52</v>
      </c>
      <c r="F28">
        <v>130</v>
      </c>
      <c r="G28">
        <v>68</v>
      </c>
      <c r="H28" s="2">
        <v>0.52</v>
      </c>
      <c r="I28">
        <v>130</v>
      </c>
      <c r="J28">
        <v>90</v>
      </c>
      <c r="K28" s="2">
        <v>0.69</v>
      </c>
    </row>
    <row r="29" spans="1:25" x14ac:dyDescent="0.25">
      <c r="A29" t="s">
        <v>65</v>
      </c>
      <c r="B29" t="s">
        <v>38</v>
      </c>
      <c r="C29">
        <v>11</v>
      </c>
      <c r="D29">
        <v>4</v>
      </c>
      <c r="E29" s="2">
        <v>0.36</v>
      </c>
      <c r="F29">
        <v>11</v>
      </c>
      <c r="G29">
        <v>5</v>
      </c>
      <c r="H29" s="2">
        <v>0.45</v>
      </c>
      <c r="I29">
        <v>11</v>
      </c>
      <c r="J29">
        <v>7</v>
      </c>
      <c r="K29" s="2">
        <v>0.64</v>
      </c>
      <c r="Y29" s="4"/>
    </row>
    <row r="30" spans="1:25" x14ac:dyDescent="0.25">
      <c r="A30" t="s">
        <v>66</v>
      </c>
      <c r="B30" t="s">
        <v>38</v>
      </c>
      <c r="C30">
        <v>36</v>
      </c>
      <c r="D30">
        <v>19</v>
      </c>
      <c r="E30" s="2">
        <v>0.53</v>
      </c>
      <c r="F30">
        <v>36</v>
      </c>
      <c r="G30">
        <v>19</v>
      </c>
      <c r="H30" s="2">
        <v>0.53</v>
      </c>
      <c r="I30">
        <v>36</v>
      </c>
      <c r="J30">
        <v>22</v>
      </c>
      <c r="K30" s="2">
        <v>0.61</v>
      </c>
      <c r="Y30" s="4"/>
    </row>
    <row r="31" spans="1:25" x14ac:dyDescent="0.25">
      <c r="A31" t="s">
        <v>67</v>
      </c>
      <c r="B31" t="s">
        <v>38</v>
      </c>
      <c r="C31">
        <v>2</v>
      </c>
      <c r="D31">
        <v>2</v>
      </c>
      <c r="E31" s="2">
        <v>1</v>
      </c>
      <c r="F31">
        <v>2</v>
      </c>
      <c r="G31">
        <v>2</v>
      </c>
      <c r="H31" s="2">
        <v>1</v>
      </c>
      <c r="I31">
        <v>2</v>
      </c>
      <c r="J31">
        <v>2</v>
      </c>
      <c r="K31" s="2">
        <v>1</v>
      </c>
      <c r="Y31" s="4"/>
    </row>
    <row r="32" spans="1:25" x14ac:dyDescent="0.25">
      <c r="A32" t="s">
        <v>68</v>
      </c>
      <c r="B32" t="s">
        <v>38</v>
      </c>
      <c r="C32">
        <v>5</v>
      </c>
      <c r="D32">
        <v>1</v>
      </c>
      <c r="E32" s="2">
        <v>0.2</v>
      </c>
      <c r="F32">
        <v>5</v>
      </c>
      <c r="G32">
        <v>1</v>
      </c>
      <c r="H32" s="2">
        <v>0.2</v>
      </c>
      <c r="I32">
        <v>5</v>
      </c>
      <c r="J32">
        <v>2</v>
      </c>
      <c r="K32" s="2">
        <v>0.4</v>
      </c>
      <c r="Y32" s="4"/>
    </row>
    <row r="33" spans="1:11" x14ac:dyDescent="0.25">
      <c r="A33" t="s">
        <v>69</v>
      </c>
      <c r="B33" t="s">
        <v>39</v>
      </c>
      <c r="C33">
        <v>111</v>
      </c>
      <c r="D33">
        <v>63</v>
      </c>
      <c r="E33" s="2">
        <v>0.56999999999999995</v>
      </c>
      <c r="F33">
        <v>111</v>
      </c>
      <c r="G33">
        <v>75</v>
      </c>
      <c r="H33" s="2">
        <v>0.68</v>
      </c>
      <c r="I33">
        <v>111</v>
      </c>
      <c r="J33">
        <v>85</v>
      </c>
      <c r="K33" s="2">
        <v>0.77</v>
      </c>
    </row>
    <row r="34" spans="1:11" x14ac:dyDescent="0.25">
      <c r="A34" t="s">
        <v>70</v>
      </c>
      <c r="B34" t="s">
        <v>40</v>
      </c>
      <c r="C34">
        <v>121</v>
      </c>
      <c r="D34">
        <v>65</v>
      </c>
      <c r="E34" s="2">
        <v>0.54</v>
      </c>
      <c r="F34">
        <v>121</v>
      </c>
      <c r="G34">
        <v>66</v>
      </c>
      <c r="H34" s="2">
        <v>0.55000000000000004</v>
      </c>
      <c r="I34">
        <v>121</v>
      </c>
      <c r="J34">
        <v>77</v>
      </c>
      <c r="K34" s="2">
        <v>0.64</v>
      </c>
    </row>
    <row r="35" spans="1:11" x14ac:dyDescent="0.25">
      <c r="A35" t="s">
        <v>71</v>
      </c>
      <c r="B35" t="s">
        <v>40</v>
      </c>
      <c r="C35">
        <v>82</v>
      </c>
      <c r="D35">
        <v>49</v>
      </c>
      <c r="E35" s="2">
        <v>0.6</v>
      </c>
      <c r="F35">
        <v>82</v>
      </c>
      <c r="G35">
        <v>50</v>
      </c>
      <c r="H35" s="2">
        <v>0.61</v>
      </c>
      <c r="I35">
        <v>82</v>
      </c>
      <c r="J35">
        <v>58</v>
      </c>
      <c r="K35" s="2">
        <v>0.71</v>
      </c>
    </row>
    <row r="36" spans="1:11" x14ac:dyDescent="0.25">
      <c r="A36" t="s">
        <v>72</v>
      </c>
      <c r="B36" t="s">
        <v>40</v>
      </c>
      <c r="C36">
        <v>5</v>
      </c>
      <c r="D36">
        <v>1</v>
      </c>
      <c r="E36" s="2">
        <v>0.2</v>
      </c>
      <c r="F36">
        <v>5</v>
      </c>
      <c r="G36">
        <v>1</v>
      </c>
      <c r="H36" s="2">
        <v>0.2</v>
      </c>
      <c r="I36">
        <v>5</v>
      </c>
      <c r="J36">
        <v>1</v>
      </c>
      <c r="K36" s="2">
        <v>0.2</v>
      </c>
    </row>
    <row r="37" spans="1:11" x14ac:dyDescent="0.25">
      <c r="C37">
        <f>SUM(C6:C36)</f>
        <v>1530</v>
      </c>
      <c r="D37">
        <f>SUM(D6:D36)</f>
        <v>843</v>
      </c>
      <c r="E37" s="2">
        <f>D37/C37</f>
        <v>0.55098039215686279</v>
      </c>
      <c r="F37">
        <f>SUM(F6:F36)</f>
        <v>1530</v>
      </c>
      <c r="G37">
        <f>SUM(G6:G36)</f>
        <v>907</v>
      </c>
      <c r="H37" s="2">
        <f>G37/F37</f>
        <v>0.59281045751633987</v>
      </c>
      <c r="I37">
        <f>SUM(I6:I36)</f>
        <v>1530</v>
      </c>
      <c r="J37">
        <f>SUM(J6:J36)</f>
        <v>1053</v>
      </c>
      <c r="K37" s="2">
        <f>J37/I37</f>
        <v>0.68823529411764706</v>
      </c>
    </row>
  </sheetData>
  <mergeCells count="5">
    <mergeCell ref="N2:Q3"/>
    <mergeCell ref="C4:E4"/>
    <mergeCell ref="I4:K4"/>
    <mergeCell ref="F4:H4"/>
    <mergeCell ref="A2:K3"/>
  </mergeCells>
  <phoneticPr fontId="3"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Division Stu. Prof.</vt:lpstr>
      <vt:lpstr>Program Stu. Prof.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Cilino, Robert</cp:lastModifiedBy>
  <dcterms:created xsi:type="dcterms:W3CDTF">2021-10-18T14:05:54Z</dcterms:created>
  <dcterms:modified xsi:type="dcterms:W3CDTF">2025-11-12T20:27:11Z</dcterms:modified>
</cp:coreProperties>
</file>